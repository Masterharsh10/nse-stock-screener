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d057e214b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449c08ab81e49e4"/>
    <x:sheet xmlns:r="http://schemas.openxmlformats.org/officeDocument/2006/relationships" name="Assumptions" sheetId="2" r:id="R8fc69e2ef75e4b9d"/>
    <x:sheet xmlns:r="http://schemas.openxmlformats.org/officeDocument/2006/relationships" name="Candidates" sheetId="3" r:id="Rded8e61b9a594e07"/>
    <x:sheet xmlns:r="http://schemas.openxmlformats.org/officeDocument/2006/relationships" name="Industry Champions" sheetId="4" r:id="R6d294e1c4a054dca"/>
    <x:sheet xmlns:r="http://schemas.openxmlformats.org/officeDocument/2006/relationships" name="Data Quality" sheetId="5" r:id="R43a486ab34e0484f"/>
    <x:sheet xmlns:r="http://schemas.openxmlformats.org/officeDocument/2006/relationships" name="Excluded" sheetId="6" r:id="R194d4a9b81b841ec"/>
    <x:sheet xmlns:r="http://schemas.openxmlformats.org/officeDocument/2006/relationships" name="All Stocks" sheetId="7" r:id="Re247a10214a144a2"/>
    <x:sheet xmlns:r="http://schemas.openxmlformats.org/officeDocument/2006/relationships" name="Sources &amp; Notes" sheetId="8" r:id="Rbd342652d9a946a8"/>
    <x:sheet xmlns:r="http://schemas.openxmlformats.org/officeDocument/2006/relationships" name="Checks" sheetId="9" r:id="Rf0abba0426a548dd"/>
  </x:sheets>
</x:workbook>
</file>

<file path=xl/comments1.xml><?xml version="1.0" encoding="utf-8"?>
<x:comments xmlns:x="http://schemas.openxmlformats.org/spreadsheetml/2006/main">
  <x:authors>
    <x:author>tc={4DB21E36-B0AA-262D-77B4-07DB09A6878F}</x:author>
    <x:author>tc={FB3D3731-F211-FE72-80B8-F078B1D0ACB2}</x:author>
    <x:author>tc={AD663BD4-4570-118A-3A8C-2E3B83CEBE58}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User-editable P/E threshold; lower values make the value filter stricter.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User-editable trailing-return threshold; this is backward-looking momentum.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Market capitalisation is an eligibility/liquidity rule, not a score.</x:t>
        </x:r>
      </x:text>
    </x:comment>
  </x:commentList>
</x:comments>
</file>

<file path=xl/comments2.xml><?xml version="1.0" encoding="utf-8"?>
<x:comments xmlns:x="http://schemas.openxmlformats.org/spreadsheetml/2006/main">
  <x:authors>
    <x:author>tc={7BB5334E-5B19-6EBC-C1FC-3C6EB1A72861}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constituent source used for the screening universe.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x"/>
    <x:numFmt numFmtId="201" formatCode="0.0%;[Red](0.0%);-"/>
    <x:numFmt numFmtId="202" formatCode="#,##0"/>
    <x:numFmt numFmtId="203" formatCode="0.0"/>
    <x:numFmt numFmtId="204" formatCode="0.00x"/>
    <x:numFmt numFmtId="205" formatCode="#,##0.00"/>
    <x:numFmt numFmtId="206" formatCode="0.0%"/>
    <x:numFmt numFmtId="207" formatCode="0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1"/>
      <x:color rgb="FF0000FF"/>
      <x:name val="Carlito"/>
    </x:font>
    <x:font>
      <x:sz val="11"/>
      <x:color rgb="FF334E68"/>
      <x:name val="Carlito"/>
    </x:font>
    <x:font>
      <x:b/>
      <x:sz val="22"/>
      <x:color rgb="FFFFFFFF"/>
      <x:name val="Carlito"/>
    </x:font>
    <x:font>
      <x:i/>
      <x:sz val="11"/>
      <x:color rgb="FF334E68"/>
      <x:name val="Carlito"/>
    </x:font>
    <x:font>
      <x:b/>
      <x:sz val="18"/>
      <x:color rgb="FF102A43"/>
      <x:name val="Carlito"/>
    </x:font>
    <x:font>
      <x:b/>
      <x:sz val="11"/>
      <x:color rgb="FF102A43"/>
      <x:name val="Carlito"/>
    </x:font>
    <x:font>
      <x:sz val="11"/>
      <x:color rgb="FF008000"/>
      <x:name val="Carlito"/>
    </x:font>
    <x:font>
      <x:sz val="11"/>
      <x:color rgb="FFFFFFFF"/>
      <x:name val="Carlito"/>
    </x:font>
    <x:font>
      <x:sz val="11"/>
      <x:color rgb="FF7C4A03"/>
      <x:name val="Carlito"/>
    </x:font>
    <x:font>
      <x:b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102A43"/>
      </x:patternFill>
    </x:fill>
    <x:fill>
      <x:patternFill patternType="solid">
        <x:fgColor rgb="FF2878B5"/>
      </x:patternFill>
    </x:fill>
    <x:fill>
      <x:patternFill patternType="solid">
        <x:fgColor rgb="FFFFF8CC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2A9D8F"/>
      </x:patternFill>
    </x:fill>
    <x:fill>
      <x:patternFill patternType="solid">
        <x:fgColor rgb="FFE9A23B"/>
      </x:patternFill>
    </x:fill>
    <x:fill>
      <x:patternFill patternType="solid">
        <x:fgColor rgb="FF7C3AED"/>
      </x:patternFill>
    </x:fill>
    <x:fill>
      <x:patternFill patternType="solid">
        <x:fgColor rgb="FFFFFFFF"/>
      </x:patternFill>
    </x:fill>
    <x:fill>
      <x:patternFill patternType="solid">
        <x:fgColor rgb="FFFFF8E7"/>
      </x:patternFill>
    </x:fill>
    <x:fill>
      <x:patternFill patternType="solid">
        <x:fgColor rgb="FFEAF4EA"/>
      </x:patternFill>
    </x:fill>
  </x:fills>
  <x:borders count="36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medium">
        <x:color rgb="FF2878B5"/>
      </x:left>
      <x:top style="medium">
        <x:color rgb="FF2878B5"/>
      </x:top>
    </x:border>
    <x:border>
      <x:top style="medium">
        <x:color rgb="FF2878B5"/>
      </x:top>
    </x:border>
    <x:border>
      <x:right style="medium">
        <x:color rgb="FF2878B5"/>
      </x:right>
      <x:top style="medium">
        <x:color rgb="FF2878B5"/>
      </x:top>
    </x:border>
    <x:border>
      <x:left style="medium">
        <x:color rgb="FF2878B5"/>
      </x:left>
      <x:bottom style="medium">
        <x:color rgb="FF2878B5"/>
      </x:bottom>
    </x:border>
    <x:border>
      <x:bottom style="medium">
        <x:color rgb="FF2878B5"/>
      </x:bottom>
    </x:border>
    <x:border>
      <x:right style="medium">
        <x:color rgb="FF2878B5"/>
      </x:right>
      <x:bottom style="medium">
        <x:color rgb="FF2878B5"/>
      </x:bottom>
    </x:border>
    <x:border>
      <x:left style="medium">
        <x:color rgb="FF2A9D8F"/>
      </x:left>
      <x:top style="medium">
        <x:color rgb="FF2A9D8F"/>
      </x:top>
    </x:border>
    <x:border>
      <x:top style="medium">
        <x:color rgb="FF2A9D8F"/>
      </x:top>
    </x:border>
    <x:border>
      <x:right style="medium">
        <x:color rgb="FF2A9D8F"/>
      </x:right>
      <x:top style="medium">
        <x:color rgb="FF2A9D8F"/>
      </x:top>
    </x:border>
    <x:border>
      <x:left style="medium">
        <x:color rgb="FF2A9D8F"/>
      </x:left>
      <x:bottom style="medium">
        <x:color rgb="FF2A9D8F"/>
      </x:bottom>
    </x:border>
    <x:border>
      <x:bottom style="medium">
        <x:color rgb="FF2A9D8F"/>
      </x:bottom>
    </x:border>
    <x:border>
      <x:right style="medium">
        <x:color rgb="FF2A9D8F"/>
      </x:right>
      <x:bottom style="medium">
        <x:color rgb="FF2A9D8F"/>
      </x:bottom>
    </x:border>
    <x:border>
      <x:left style="medium">
        <x:color rgb="FFE9A23B"/>
      </x:left>
      <x:top style="medium">
        <x:color rgb="FFE9A23B"/>
      </x:top>
    </x:border>
    <x:border>
      <x:top style="medium">
        <x:color rgb="FFE9A23B"/>
      </x:top>
    </x:border>
    <x:border>
      <x:right style="medium">
        <x:color rgb="FFE9A23B"/>
      </x:right>
      <x:top style="medium">
        <x:color rgb="FFE9A23B"/>
      </x:top>
    </x:border>
    <x:border>
      <x:left style="medium">
        <x:color rgb="FFE9A23B"/>
      </x:left>
      <x:bottom style="medium">
        <x:color rgb="FFE9A23B"/>
      </x:bottom>
    </x:border>
    <x:border>
      <x:bottom style="medium">
        <x:color rgb="FFE9A23B"/>
      </x:bottom>
    </x:border>
    <x:border>
      <x:right style="medium">
        <x:color rgb="FFE9A23B"/>
      </x:right>
      <x:bottom style="medium">
        <x:color rgb="FFE9A23B"/>
      </x:bottom>
    </x:border>
    <x:border>
      <x:left style="medium">
        <x:color rgb="FF7C3AED"/>
      </x:left>
      <x:top style="medium">
        <x:color rgb="FF7C3AED"/>
      </x:top>
    </x:border>
    <x:border>
      <x:right style="medium">
        <x:color rgb="FF7C3AED"/>
      </x:right>
      <x:top style="medium">
        <x:color rgb="FF7C3AED"/>
      </x:top>
    </x:border>
    <x:border>
      <x:left style="medium">
        <x:color rgb="FF7C3AED"/>
      </x:left>
      <x:bottom style="medium">
        <x:color rgb="FF7C3AED"/>
      </x:bottom>
    </x:border>
    <x:border>
      <x:right style="medium">
        <x:color rgb="FF7C3AED"/>
      </x:right>
      <x:bottom style="medium">
        <x:color rgb="FF7C3AED"/>
      </x:bottom>
    </x:border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medium">
        <x:color rgb="FF2A9D8F"/>
      </x:left>
      <x:top style="medium">
        <x:color rgb="FF2A9D8F"/>
      </x:top>
      <x:bottom style="medium">
        <x:color rgb="FF2A9D8F"/>
      </x:bottom>
    </x:border>
    <x:border>
      <x:right style="medium">
        <x:color rgb="FF2A9D8F"/>
      </x:right>
      <x:top style="medium">
        <x:color rgb="FF2A9D8F"/>
      </x:top>
      <x:bottom style="medium">
        <x:color rgb="FF2A9D8F"/>
      </x:bottom>
    </x:border>
  </x:borders>
  <x:cellStyleXfs count="1">
    <x:xf numFmtId="0" fontId="0" fillId="0" borderId="0"/>
  </x:cellStyleXfs>
  <x:cellXfs count="1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5" borderId="0" xfId="0" applyNumberFormat="1" applyFont="1" applyFill="1" applyBorder="1"/>
    <x:xf numFmtId="206" fontId="3" fillId="5" borderId="0" xfId="0" applyNumberFormat="1" applyFont="1" applyFill="1" applyBorder="1"/>
    <x:xf numFmtId="202" fontId="3" fillId="5" borderId="0" xfId="0" applyNumberFormat="1" applyFont="1" applyFill="1" applyBorder="1"/>
    <x:xf numFmtId="206" fontId="0" fillId="0" borderId="0" xfId="0" applyNumberFormat="1" applyFont="1" applyFill="1" applyBorder="1"/>
    <x:xf numFmtId="0" fontId="1" fillId="4" borderId="1" xfId="0" applyNumberFormat="1" applyFont="1" applyFill="1" applyBorder="1"/>
    <x:xf numFmtId="0" fontId="0" fillId="0" borderId="1" xfId="0" applyNumberFormat="1" applyFont="1" applyFill="1" applyBorder="1"/>
    <x:xf numFmtId="200" fontId="3" fillId="5" borderId="1" xfId="0" applyNumberFormat="1" applyFont="1" applyFill="1" applyBorder="1"/>
    <x:xf numFmtId="206" fontId="3" fillId="5" borderId="1" xfId="0" applyNumberFormat="1" applyFont="1" applyFill="1" applyBorder="1"/>
    <x:xf numFmtId="202" fontId="3" fillId="5" borderId="1" xfId="0" applyNumberFormat="1" applyFont="1" applyFill="1" applyBorder="1"/>
    <x:xf numFmtId="206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2" xfId="0" applyNumberFormat="1" applyFont="1" applyFill="1" applyBorder="1" applyAlignment="1">
      <x:alignment horizontal="center"/>
    </x:xf>
    <x:xf numFmtId="0" fontId="7" fillId="8" borderId="3" xfId="0" applyNumberFormat="1" applyFont="1" applyFill="1" applyBorder="1" applyAlignment="1">
      <x:alignment horizontal="center"/>
    </x:xf>
    <x:xf numFmtId="0" fontId="7" fillId="8" borderId="4" xfId="0" applyNumberFormat="1" applyFont="1" applyFill="1" applyBorder="1" applyAlignment="1">
      <x:alignment horizontal="center"/>
    </x:xf>
    <x:xf numFmtId="0" fontId="7" fillId="8" borderId="5" xfId="0" applyNumberFormat="1" applyFont="1" applyFill="1" applyBorder="1" applyAlignment="1">
      <x:alignment horizontal="center"/>
    </x:xf>
    <x:xf numFmtId="0" fontId="7" fillId="8" borderId="6" xfId="0" applyNumberFormat="1" applyFont="1" applyFill="1" applyBorder="1" applyAlignment="1">
      <x:alignment horizontal="center"/>
    </x:xf>
    <x:xf numFmtId="0" fontId="7" fillId="8" borderId="7" xfId="0" applyNumberFormat="1" applyFont="1" applyFill="1" applyBorder="1" applyAlignment="1">
      <x:alignment horizontal="center"/>
    </x:xf>
    <x:xf numFmtId="0" fontId="7" fillId="8" borderId="2" xfId="0" applyNumberFormat="1" applyFont="1" applyFill="1" applyBorder="1" applyAlignment="1">
      <x:alignment horizontal="center" vertical="center"/>
    </x:xf>
    <x:xf numFmtId="0" fontId="7" fillId="8" borderId="3" xfId="0" applyNumberFormat="1" applyFont="1" applyFill="1" applyBorder="1" applyAlignment="1">
      <x:alignment horizontal="center" vertical="center"/>
    </x:xf>
    <x:xf numFmtId="0" fontId="7" fillId="8" borderId="4" xfId="0" applyNumberFormat="1" applyFont="1" applyFill="1" applyBorder="1" applyAlignment="1">
      <x:alignment horizontal="center" vertical="center"/>
    </x:xf>
    <x:xf numFmtId="0" fontId="7" fillId="8" borderId="5" xfId="0" applyNumberFormat="1" applyFont="1" applyFill="1" applyBorder="1" applyAlignment="1">
      <x:alignment horizontal="center" vertical="center"/>
    </x:xf>
    <x:xf numFmtId="0" fontId="7" fillId="8" borderId="6" xfId="0" applyNumberFormat="1" applyFont="1" applyFill="1" applyBorder="1" applyAlignment="1">
      <x:alignment horizontal="center" vertical="center"/>
    </x:xf>
    <x:xf numFmtId="0" fontId="7" fillId="8" borderId="7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12" xfId="0" applyNumberFormat="1" applyFont="1" applyFill="1" applyBorder="1"/>
    <x:xf numFmtId="0" fontId="7" fillId="8" borderId="13" xfId="0" applyNumberFormat="1" applyFont="1" applyFill="1" applyBorder="1"/>
    <x:xf numFmtId="0" fontId="7" fillId="8" borderId="8" xfId="0" applyNumberFormat="1" applyFont="1" applyFill="1" applyBorder="1" applyAlignment="1">
      <x:alignment horizontal="center"/>
    </x:xf>
    <x:xf numFmtId="0" fontId="7" fillId="8" borderId="9" xfId="0" applyNumberFormat="1" applyFont="1" applyFill="1" applyBorder="1" applyAlignment="1">
      <x:alignment horizontal="center"/>
    </x:xf>
    <x:xf numFmtId="0" fontId="7" fillId="8" borderId="10" xfId="0" applyNumberFormat="1" applyFont="1" applyFill="1" applyBorder="1" applyAlignment="1">
      <x:alignment horizontal="center"/>
    </x:xf>
    <x:xf numFmtId="0" fontId="7" fillId="8" borderId="11" xfId="0" applyNumberFormat="1" applyFont="1" applyFill="1" applyBorder="1" applyAlignment="1">
      <x:alignment horizontal="center"/>
    </x:xf>
    <x:xf numFmtId="0" fontId="7" fillId="8" borderId="12" xfId="0" applyNumberFormat="1" applyFont="1" applyFill="1" applyBorder="1" applyAlignment="1">
      <x:alignment horizontal="center"/>
    </x:xf>
    <x:xf numFmtId="0" fontId="7" fillId="8" borderId="13" xfId="0" applyNumberFormat="1" applyFont="1" applyFill="1" applyBorder="1" applyAlignment="1">
      <x:alignment horizontal="center"/>
    </x:xf>
    <x:xf numFmtId="0" fontId="7" fillId="8" borderId="8" xfId="0" applyNumberFormat="1" applyFont="1" applyFill="1" applyBorder="1" applyAlignment="1">
      <x:alignment horizontal="center" vertical="center"/>
    </x:xf>
    <x:xf numFmtId="0" fontId="7" fillId="8" borderId="9" xfId="0" applyNumberFormat="1" applyFont="1" applyFill="1" applyBorder="1" applyAlignment="1">
      <x:alignment horizontal="center" vertical="center"/>
    </x:xf>
    <x:xf numFmtId="0" fontId="7" fillId="8" borderId="10" xfId="0" applyNumberFormat="1" applyFont="1" applyFill="1" applyBorder="1" applyAlignment="1">
      <x:alignment horizontal="center" vertical="center"/>
    </x:xf>
    <x:xf numFmtId="0" fontId="7" fillId="8" borderId="11" xfId="0" applyNumberFormat="1" applyFont="1" applyFill="1" applyBorder="1" applyAlignment="1">
      <x:alignment horizontal="center" vertical="center"/>
    </x:xf>
    <x:xf numFmtId="0" fontId="7" fillId="8" borderId="12" xfId="0" applyNumberFormat="1" applyFont="1" applyFill="1" applyBorder="1" applyAlignment="1">
      <x:alignment horizontal="center" vertical="center"/>
    </x:xf>
    <x:xf numFmtId="0" fontId="7" fillId="8" borderId="13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7" fillId="8" borderId="14" xfId="0" applyNumberFormat="1" applyFont="1" applyFill="1" applyBorder="1"/>
    <x:xf numFmtId="0" fontId="7" fillId="8" borderId="15" xfId="0" applyNumberFormat="1" applyFont="1" applyFill="1" applyBorder="1"/>
    <x:xf numFmtId="0" fontId="7" fillId="8" borderId="16" xfId="0" applyNumberFormat="1" applyFont="1" applyFill="1" applyBorder="1"/>
    <x:xf numFmtId="0" fontId="7" fillId="8" borderId="17" xfId="0" applyNumberFormat="1" applyFont="1" applyFill="1" applyBorder="1"/>
    <x:xf numFmtId="0" fontId="7" fillId="8" borderId="18" xfId="0" applyNumberFormat="1" applyFont="1" applyFill="1" applyBorder="1"/>
    <x:xf numFmtId="0" fontId="7" fillId="8" borderId="19" xfId="0" applyNumberFormat="1" applyFont="1" applyFill="1" applyBorder="1"/>
    <x:xf numFmtId="0" fontId="7" fillId="8" borderId="14" xfId="0" applyNumberFormat="1" applyFont="1" applyFill="1" applyBorder="1" applyAlignment="1">
      <x:alignment horizontal="center"/>
    </x:xf>
    <x:xf numFmtId="0" fontId="7" fillId="8" borderId="15" xfId="0" applyNumberFormat="1" applyFont="1" applyFill="1" applyBorder="1" applyAlignment="1">
      <x:alignment horizontal="center"/>
    </x:xf>
    <x:xf numFmtId="0" fontId="7" fillId="8" borderId="16" xfId="0" applyNumberFormat="1" applyFont="1" applyFill="1" applyBorder="1" applyAlignment="1">
      <x:alignment horizontal="center"/>
    </x:xf>
    <x:xf numFmtId="0" fontId="7" fillId="8" borderId="17" xfId="0" applyNumberFormat="1" applyFont="1" applyFill="1" applyBorder="1" applyAlignment="1">
      <x:alignment horizontal="center"/>
    </x:xf>
    <x:xf numFmtId="0" fontId="7" fillId="8" borderId="18" xfId="0" applyNumberFormat="1" applyFont="1" applyFill="1" applyBorder="1" applyAlignment="1">
      <x:alignment horizontal="center"/>
    </x:xf>
    <x:xf numFmtId="0" fontId="7" fillId="8" borderId="19" xfId="0" applyNumberFormat="1" applyFont="1" applyFill="1" applyBorder="1" applyAlignment="1">
      <x:alignment horizontal="center"/>
    </x:xf>
    <x:xf numFmtId="0" fontId="7" fillId="8" borderId="14" xfId="0" applyNumberFormat="1" applyFont="1" applyFill="1" applyBorder="1" applyAlignment="1">
      <x:alignment horizontal="center" vertical="center"/>
    </x:xf>
    <x:xf numFmtId="0" fontId="7" fillId="8" borderId="15" xfId="0" applyNumberFormat="1" applyFont="1" applyFill="1" applyBorder="1" applyAlignment="1">
      <x:alignment horizontal="center" vertical="center"/>
    </x:xf>
    <x:xf numFmtId="0" fontId="7" fillId="8" borderId="16" xfId="0" applyNumberFormat="1" applyFont="1" applyFill="1" applyBorder="1" applyAlignment="1">
      <x:alignment horizontal="center" vertical="center"/>
    </x:xf>
    <x:xf numFmtId="0" fontId="7" fillId="8" borderId="17" xfId="0" applyNumberFormat="1" applyFont="1" applyFill="1" applyBorder="1" applyAlignment="1">
      <x:alignment horizontal="center" vertical="center"/>
    </x:xf>
    <x:xf numFmtId="0" fontId="7" fillId="8" borderId="18" xfId="0" applyNumberFormat="1" applyFont="1" applyFill="1" applyBorder="1" applyAlignment="1">
      <x:alignment horizontal="center" vertical="center"/>
    </x:xf>
    <x:xf numFmtId="0" fontId="7" fillId="8" borderId="19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7" fillId="8" borderId="20" xfId="0" applyNumberFormat="1" applyFont="1" applyFill="1" applyBorder="1"/>
    <x:xf numFmtId="0" fontId="7" fillId="8" borderId="21" xfId="0" applyNumberFormat="1" applyFont="1" applyFill="1" applyBorder="1"/>
    <x:xf numFmtId="0" fontId="7" fillId="8" borderId="22" xfId="0" applyNumberFormat="1" applyFont="1" applyFill="1" applyBorder="1"/>
    <x:xf numFmtId="0" fontId="7" fillId="8" borderId="23" xfId="0" applyNumberFormat="1" applyFont="1" applyFill="1" applyBorder="1"/>
    <x:xf numFmtId="0" fontId="7" fillId="8" borderId="20" xfId="0" applyNumberFormat="1" applyFont="1" applyFill="1" applyBorder="1" applyAlignment="1">
      <x:alignment horizontal="center"/>
    </x:xf>
    <x:xf numFmtId="0" fontId="7" fillId="8" borderId="21" xfId="0" applyNumberFormat="1" applyFont="1" applyFill="1" applyBorder="1" applyAlignment="1">
      <x:alignment horizontal="center"/>
    </x:xf>
    <x:xf numFmtId="0" fontId="7" fillId="8" borderId="22" xfId="0" applyNumberFormat="1" applyFont="1" applyFill="1" applyBorder="1" applyAlignment="1">
      <x:alignment horizontal="center"/>
    </x:xf>
    <x:xf numFmtId="0" fontId="7" fillId="8" borderId="23" xfId="0" applyNumberFormat="1" applyFont="1" applyFill="1" applyBorder="1" applyAlignment="1">
      <x:alignment horizontal="center"/>
    </x:xf>
    <x:xf numFmtId="0" fontId="7" fillId="8" borderId="20" xfId="0" applyNumberFormat="1" applyFont="1" applyFill="1" applyBorder="1" applyAlignment="1">
      <x:alignment horizontal="center" vertical="center"/>
    </x:xf>
    <x:xf numFmtId="0" fontId="7" fillId="8" borderId="21" xfId="0" applyNumberFormat="1" applyFont="1" applyFill="1" applyBorder="1" applyAlignment="1">
      <x:alignment horizontal="center" vertical="center"/>
    </x:xf>
    <x:xf numFmtId="0" fontId="7" fillId="8" borderId="22" xfId="0" applyNumberFormat="1" applyFont="1" applyFill="1" applyBorder="1" applyAlignment="1">
      <x:alignment horizontal="center" vertical="center"/>
    </x:xf>
    <x:xf numFmtId="0" fontId="7" fillId="8" borderId="23" xfId="0" applyNumberFormat="1" applyFont="1" applyFill="1" applyBorder="1" applyAlignment="1">
      <x:alignment horizontal="center" vertical="center"/>
    </x:xf>
    <x:xf numFmtId="206" fontId="7" fillId="8" borderId="20" xfId="0" applyNumberFormat="1" applyFont="1" applyFill="1" applyBorder="1" applyAlignment="1">
      <x:alignment horizontal="center" vertical="center"/>
    </x:xf>
    <x:xf numFmtId="206" fontId="7" fillId="8" borderId="21" xfId="0" applyNumberFormat="1" applyFont="1" applyFill="1" applyBorder="1" applyAlignment="1">
      <x:alignment horizontal="center" vertical="center"/>
    </x:xf>
    <x:xf numFmtId="206" fontId="7" fillId="8" borderId="22" xfId="0" applyNumberFormat="1" applyFont="1" applyFill="1" applyBorder="1" applyAlignment="1">
      <x:alignment horizontal="center" vertical="center"/>
    </x:xf>
    <x:xf numFmtId="206" fontId="7" fillId="8" borderId="23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9" fillId="0" borderId="0" xfId="0" applyNumberFormat="1" applyFont="1" applyFill="1" applyBorder="1"/>
    <x:xf numFmtId="0" fontId="9" fillId="0" borderId="25" xfId="0" applyNumberFormat="1" applyFont="1" applyFill="1" applyBorder="1"/>
    <x:xf numFmtId="0" fontId="9" fillId="0" borderId="26" xfId="0" applyNumberFormat="1" applyFont="1" applyFill="1" applyBorder="1"/>
    <x:xf numFmtId="0" fontId="9" fillId="0" borderId="27" xfId="0" applyNumberFormat="1" applyFont="1" applyFill="1" applyBorder="1"/>
    <x:xf numFmtId="0" fontId="9" fillId="0" borderId="28" xfId="0" applyNumberFormat="1" applyFont="1" applyFill="1" applyBorder="1"/>
    <x:xf numFmtId="0" fontId="9" fillId="0" borderId="29" xfId="0" applyNumberFormat="1" applyFont="1" applyFill="1" applyBorder="1"/>
    <x:xf numFmtId="0" fontId="9" fillId="0" borderId="30" xfId="0" applyNumberFormat="1" applyFont="1" applyFill="1" applyBorder="1"/>
    <x:xf numFmtId="0" fontId="9" fillId="0" borderId="31" xfId="0" applyNumberFormat="1" applyFont="1" applyFill="1" applyBorder="1"/>
    <x:xf numFmtId="0" fontId="9" fillId="0" borderId="32" xfId="0" applyNumberFormat="1" applyFont="1" applyFill="1" applyBorder="1"/>
    <x:xf numFmtId="0" fontId="9" fillId="0" borderId="33" xfId="0" applyNumberFormat="1" applyFont="1" applyFill="1" applyBorder="1"/>
    <x:xf numFmtId="200" fontId="9" fillId="0" borderId="26" xfId="0" applyNumberFormat="1" applyFont="1" applyFill="1" applyBorder="1"/>
    <x:xf numFmtId="200" fontId="9" fillId="0" borderId="29" xfId="0" applyNumberFormat="1" applyFont="1" applyFill="1" applyBorder="1"/>
    <x:xf numFmtId="200" fontId="9" fillId="0" borderId="32" xfId="0" applyNumberFormat="1" applyFont="1" applyFill="1" applyBorder="1"/>
    <x:xf numFmtId="206" fontId="9" fillId="0" borderId="26" xfId="0" applyNumberFormat="1" applyFont="1" applyFill="1" applyBorder="1"/>
    <x:xf numFmtId="206" fontId="9" fillId="0" borderId="29" xfId="0" applyNumberFormat="1" applyFont="1" applyFill="1" applyBorder="1"/>
    <x:xf numFmtId="206" fontId="9" fillId="0" borderId="32" xfId="0" applyNumberFormat="1" applyFont="1" applyFill="1" applyBorder="1"/>
    <x:xf numFmtId="203" fontId="9" fillId="0" borderId="27" xfId="0" applyNumberFormat="1" applyFont="1" applyFill="1" applyBorder="1"/>
    <x:xf numFmtId="203" fontId="9" fillId="0" borderId="30" xfId="0" applyNumberFormat="1" applyFont="1" applyFill="1" applyBorder="1"/>
    <x:xf numFmtId="203" fontId="9" fillId="0" borderId="33" xfId="0" applyNumberFormat="1" applyFont="1" applyFill="1" applyBorder="1"/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203" fontId="10" fillId="12" borderId="0" xfId="0" applyNumberFormat="1" applyFont="1" applyFill="1" applyBorder="1"/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/>
    <x:xf numFmtId="0" fontId="9" fillId="0" borderId="1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34" xfId="0" applyNumberFormat="1" applyFont="1" applyFill="1" applyBorder="1"/>
    <x:xf numFmtId="0" fontId="8" fillId="14" borderId="35" xfId="0" applyNumberFormat="1" applyFont="1" applyFill="1" applyBorder="1"/>
    <x:xf numFmtId="207" fontId="0" fillId="0" borderId="1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fb19cf0b8498d" /><Relationship Type="http://schemas.openxmlformats.org/officeDocument/2006/relationships/theme" Target="/xl/theme/theme1.xml" Id="Rd752ec57f8ae4425" /><Relationship Type="http://schemas.openxmlformats.org/officeDocument/2006/relationships/sharedStrings" Target="/xl/sharedStrings.xml" Id="R9c6d36c8889245e5" /><Relationship Type="http://schemas.openxmlformats.org/officeDocument/2006/relationships/worksheet" Target="/xl/worksheets/sheet1.xml" Id="Rd449c08ab81e49e4" /><Relationship Type="http://schemas.openxmlformats.org/officeDocument/2006/relationships/worksheet" Target="/xl/worksheets/sheet2.xml" Id="R8fc69e2ef75e4b9d" /><Relationship Type="http://schemas.openxmlformats.org/officeDocument/2006/relationships/worksheet" Target="/xl/worksheets/sheet3.xml" Id="Rded8e61b9a594e07" /><Relationship Type="http://schemas.openxmlformats.org/officeDocument/2006/relationships/worksheet" Target="/xl/worksheets/sheet4.xml" Id="R6d294e1c4a054dca" /><Relationship Type="http://schemas.openxmlformats.org/officeDocument/2006/relationships/worksheet" Target="/xl/worksheets/sheet5.xml" Id="R43a486ab34e0484f" /><Relationship Type="http://schemas.openxmlformats.org/officeDocument/2006/relationships/worksheet" Target="/xl/worksheets/sheet6.xml" Id="R194d4a9b81b841ec" /><Relationship Type="http://schemas.openxmlformats.org/officeDocument/2006/relationships/worksheet" Target="/xl/worksheets/sheet7.xml" Id="Re247a10214a144a2" /><Relationship Type="http://schemas.openxmlformats.org/officeDocument/2006/relationships/worksheet" Target="/xl/worksheets/sheet8.xml" Id="Rbd342652d9a946a8" /><Relationship Type="http://schemas.openxmlformats.org/officeDocument/2006/relationships/worksheet" Target="/xl/worksheets/sheet9.xml" Id="Rf0abba0426a548dd" /><Relationship Type="http://schemas.microsoft.com/office/2017/10/relationships/person" Target="/xl/persons/person.xml" Id="Rc3aad7d037d947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7050d598e148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Score Decomposition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Value contribution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'Dashboard'!$H$26:$H$35</c:f>
              <c:strCache>
                <c:ptCount val="0"/>
              </c:strCache>
            </c:strRef>
          </c:cat>
          <c:val>
            <c:numRef>
              <c:f>'Dashboard'!$I$26:$I$35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Momentum contribution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'Dashboard'!$H$26:$H$35</c:f>
              <c:strCache>
                <c:ptCount val="0"/>
              </c:strCache>
            </c:strRef>
          </c:cat>
          <c:val>
            <c:numRef>
              <c:f>'Dashboard'!$J$26:$J$35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7050d598e148e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Project author" id="{FF25E4B2-024D-4A9D-87B7-9886C783BEA9}"/>
</xltc:personList>
</file>

<file path=xl/tables/table1.xml><?xml version="1.0" encoding="utf-8"?>
<x:table xmlns:x="http://schemas.openxmlformats.org/spreadsheetml/2006/main" id="1" name="CandidatesTable" displayName="CandidatesTable" ref="A1:P19" headerRowCount="1">
  <x:autoFilter ref="A1:P19"/>
  <x:tableColumns count="16">
    <x:tableColumn id="1" name="Overall Rank"/>
    <x:tableColumn id="2" name="Symbol"/>
    <x:tableColumn id="3" name="Company Name"/>
    <x:tableColumn id="4" name="Industry"/>
    <x:tableColumn id="5" name="Trailing PE"/>
    <x:tableColumn id="6" name="1Y Return"/>
    <x:tableColumn id="7" name="Market Cap (INR Crore)"/>
    <x:tableColumn id="8" name="Annualised Volatility"/>
    <x:tableColumn id="9" name="Maximum Drawdown"/>
    <x:tableColumn id="10" name="Value Score"/>
    <x:tableColumn id="11" name="Momentum Score"/>
    <x:tableColumn id="12" name="Composite Score"/>
    <x:tableColumn id="13" name="Momentum Efficiency"/>
    <x:tableColumn id="14" name="Industry Rank"/>
    <x:tableColumn id="15" name="Selection Tier"/>
    <x:tableColumn id="16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ChampionsTable" displayName="ChampionsTable" ref="A1:P7" headerRowCount="1">
  <x:autoFilter ref="A1:P7"/>
  <x:tableColumns count="16">
    <x:tableColumn id="1" name="Overall Rank"/>
    <x:tableColumn id="2" name="Symbol"/>
    <x:tableColumn id="3" name="Company Name"/>
    <x:tableColumn id="4" name="Industry"/>
    <x:tableColumn id="5" name="Trailing PE"/>
    <x:tableColumn id="6" name="1Y Return"/>
    <x:tableColumn id="7" name="Market Cap (INR Crore)"/>
    <x:tableColumn id="8" name="Annualised Volatility"/>
    <x:tableColumn id="9" name="Maximum Drawdown"/>
    <x:tableColumn id="10" name="Value Score"/>
    <x:tableColumn id="11" name="Momentum Score"/>
    <x:tableColumn id="12" name="Composite Score"/>
    <x:tableColumn id="13" name="Momentum Efficiency"/>
    <x:tableColumn id="14" name="Industry Rank"/>
    <x:tableColumn id="15" name="Selection Tier"/>
    <x:tableColumn id="16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QualityTable" displayName="QualityTable" ref="A1:B7" headerRowCount="1">
  <x:autoFilter ref="A1:B7"/>
  <x:tableColumns count="2">
    <x:tableColumn id="1" name="Measure"/>
    <x:tableColumn id="2" name="Value"/>
  </x:tableColumns>
  <x:tableStyleInfo name="TableStyleMedium2" showRowStripes="1"/>
</x:table>
</file>

<file path=xl/tables/table4.xml><?xml version="1.0" encoding="utf-8"?>
<x:table xmlns:x="http://schemas.openxmlformats.org/spreadsheetml/2006/main" id="4" name="ExcludedTable" displayName="ExcludedTable" ref="A1:J85" headerRowCount="1">
  <x:autoFilter ref="A1:J85"/>
  <x:tableColumns count="10">
    <x:tableColumn id="1" name="Symbol"/>
    <x:tableColumn id="2" name="Company Name"/>
    <x:tableColumn id="3" name="Industry"/>
    <x:tableColumn id="4" name="Trailing PE"/>
    <x:tableColumn id="5" name="1Y Return"/>
    <x:tableColumn id="6" name="Market Cap (INR Crore)"/>
    <x:tableColumn id="7" name="Screen Result"/>
    <x:tableColumn id="8" name="Price Error"/>
    <x:tableColumn id="9" name="Fundamental Error"/>
    <x:tableColumn id="10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AllStocksTable" displayName="AllStocksTable" ref="A1:AF103" headerRowCount="1">
  <x:autoFilter ref="A1:AF103"/>
  <x:tableColumns count="32">
    <x:tableColumn id="1" name="Company Name"/>
    <x:tableColumn id="2" name="Industry"/>
    <x:tableColumn id="3" name="Symbol"/>
    <x:tableColumn id="4" name="Series"/>
    <x:tableColumn id="5" name="ISIN Code"/>
    <x:tableColumn id="6" name="Yahoo Symbol"/>
    <x:tableColumn id="7" name="Current Price (INR)"/>
    <x:tableColumn id="8" name="1Y Return"/>
    <x:tableColumn id="9" name="Annualised Volatility"/>
    <x:tableColumn id="10" name="Maximum Drawdown"/>
    <x:tableColumn id="11" name="Price Observations"/>
    <x:tableColumn id="12" name="Price Start"/>
    <x:tableColumn id="13" name="Price End"/>
    <x:tableColumn id="14" name="Price Error"/>
    <x:tableColumn id="15" name="Trailing PE"/>
    <x:tableColumn id="16" name="Market Cap (INR)"/>
    <x:tableColumn id="17" name="Market Cap (INR Crore)"/>
    <x:tableColumn id="18" name="Yahoo Sector"/>
    <x:tableColumn id="19" name="Yahoo Industry"/>
    <x:tableColumn id="20" name="Currency"/>
    <x:tableColumn id="21" name="Fundamental Error"/>
    <x:tableColumn id="22" name="Fundamental As Of"/>
    <x:tableColumn id="23" name="Data Complete"/>
    <x:tableColumn id="24" name="Value Score"/>
    <x:tableColumn id="25" name="Momentum Score"/>
    <x:tableColumn id="26" name="Value Contribution"/>
    <x:tableColumn id="27" name="Momentum Contribution"/>
    <x:tableColumn id="28" name="Composite Score"/>
    <x:tableColumn id="29" name="Momentum Efficiency"/>
    <x:tableColumn id="30" name="Screen Result"/>
    <x:tableColumn id="31" name="Passed"/>
    <x:tableColumn id="32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6-25T06:56:17.409" personId="{FF25E4B2-024D-4A9D-87B7-9886C783BEA9}" id="{4DB21E36-B0AA-262D-77B4-07DB09A6878F}">
    <xltc:text>User-editable P/E threshold; lower values make the value filter stricter.</xltc:text>
  </xltc:threadedComment>
  <xltc:threadedComment ref="B6" dT="2026-06-25T06:56:17.409" personId="{FF25E4B2-024D-4A9D-87B7-9886C783BEA9}" id="{FB3D3731-F211-FE72-80B8-F078B1D0ACB2}">
    <xltc:text>User-editable trailing-return threshold; this is backward-looking momentum.</xltc:text>
  </xltc:threadedComment>
  <xltc:threadedComment ref="B7" dT="2026-06-25T06:56:17.409" personId="{FF25E4B2-024D-4A9D-87B7-9886C783BEA9}" id="{AD663BD4-4570-118A-3A8C-2E3B83CEBE58}">
    <xltc:text>Market capitalisation is an eligibility/liquidity rule, not a score.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" dT="2026-06-25T06:56:17.409" personId="{FF25E4B2-024D-4A9D-87B7-9886C783BEA9}" id="{7BB5334E-5B19-6EBC-C1FC-3C6EB1A72861}">
    <xltc:text>Official constituent source used for the screening universe.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31f966404344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7ab71ceda9154330" /><Relationship Type="http://schemas.openxmlformats.org/officeDocument/2006/relationships/vmlDrawing" Target="/xl/drawings/vmldrawing.vml" Id="Rd03f49bb3d67441c" /><Relationship Type="http://schemas.microsoft.com/office/2017/10/relationships/threadedComment" Target="/xl/threadedcomments/threadedcomment.xml" Id="R27c8b29f044441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79833c520954b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86e4168720244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aefa998038b44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80c5bc939e441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04dc7febce140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2.xml" Id="Rb5fbb89d65b94961" /><Relationship Type="http://schemas.openxmlformats.org/officeDocument/2006/relationships/vmlDrawing" Target="/xl/drawings/vmldrawing2.vml" Id="Reb11e2858e064b8f" /><Relationship Type="http://schemas.microsoft.com/office/2017/10/relationships/threadedComment" Target="/xl/threadedcomments/threadedcomment2.xml" Id="R566ff2afff1745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</x:cols>
  <x:sheetData>
    <x:row r="1">
      <x:c r="A1" s="34" t="str">
        <x:v>NSE Quantamental Stock Screener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>
      <x:c r="A3" s="37" t="str">
        <x:v>Value + momentum shortlist | Nifty 100 universe | Snapshot as of 19 June 2026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</x:row>
    <x:row r="5">
      <x:c r="A5" s="38" t="str">
        <x:v>Universe</x:v>
      </x:c>
      <x:c r="B5" s="38"/>
      <x:c r="C5" s="38"/>
      <x:c r="E5" s="61" t="str">
        <x:v>Complete data</x:v>
      </x:c>
      <x:c r="F5" s="61"/>
      <x:c r="G5" s="61"/>
      <x:c r="I5" s="82" t="str">
        <x:v>Passed filters</x:v>
      </x:c>
      <x:c r="J5" s="82"/>
      <x:c r="K5" s="82"/>
      <x:c r="M5" s="103" t="str">
        <x:v>Coverage</x:v>
      </x:c>
      <x:c r="N5" s="103"/>
    </x:row>
    <x:row r="6">
      <x:c r="A6" s="53" t="n">
        <x:f>'Data Quality'!B2</x:f>
        <x:v>102</x:v>
      </x:c>
      <x:c r="B6" s="54"/>
      <x:c r="C6" s="55"/>
      <x:c r="E6" s="74" t="n">
        <x:f>'Data Quality'!B3</x:f>
        <x:v>96</x:v>
      </x:c>
      <x:c r="F6" s="75"/>
      <x:c r="G6" s="76"/>
      <x:c r="I6" s="95" t="n">
        <x:f>'Data Quality'!B4</x:f>
        <x:v>18</x:v>
      </x:c>
      <x:c r="J6" s="96"/>
      <x:c r="K6" s="97"/>
      <x:c r="M6" s="116" t="n">
        <x:f>'Data Quality'!B3/'Data Quality'!B2</x:f>
        <x:v>0.9411764705882353</x:v>
      </x:c>
      <x:c r="N6" s="117"/>
    </x:row>
    <x:row r="7">
      <x:c r="A7" s="56"/>
      <x:c r="B7" s="57"/>
      <x:c r="C7" s="58"/>
      <x:c r="E7" s="77"/>
      <x:c r="F7" s="78"/>
      <x:c r="G7" s="79"/>
      <x:c r="I7" s="98"/>
      <x:c r="J7" s="99"/>
      <x:c r="K7" s="100"/>
      <x:c r="M7" s="118"/>
      <x:c r="N7" s="119"/>
    </x:row>
    <x:row r="10">
      <x:c r="A10" s="2" t="str">
        <x:v>Top 10 candidates</x:v>
      </x:c>
      <x:c r="B10" s="2"/>
      <x:c r="C10" s="2"/>
      <x:c r="D10" s="2"/>
      <x:c r="E10" s="2"/>
      <x:c r="F10" s="2"/>
    </x:row>
    <x:row r="11">
      <x:c r="A11" s="121" t="str">
        <x:v>Rank</x:v>
      </x:c>
      <x:c r="B11" s="121" t="str">
        <x:v>Symbol</x:v>
      </x:c>
      <x:c r="C11" s="121" t="str">
        <x:v>Industry</x:v>
      </x:c>
      <x:c r="D11" s="121" t="str">
        <x:v>P/E</x:v>
      </x:c>
      <x:c r="E11" s="121" t="str">
        <x:v>1Y Return</x:v>
      </x:c>
      <x:c r="F11" s="121" t="str">
        <x:v>Score</x:v>
      </x:c>
    </x:row>
    <x:row r="12">
      <x:c r="A12" s="123" t="n">
        <x:f>Candidates!A2</x:f>
        <x:v>1</x:v>
      </x:c>
      <x:c r="B12" s="124" t="str">
        <x:f>Candidates!B2</x:f>
        <x:v>CANBK</x:v>
      </x:c>
      <x:c r="C12" s="124" t="str">
        <x:f>Candidates!D2</x:f>
        <x:v>Financial Services</x:v>
      </x:c>
      <x:c r="D12" s="132" t="n">
        <x:f>Candidates!E2</x:f>
        <x:v>6.1546254</x:v>
      </x:c>
      <x:c r="E12" s="135" t="n">
        <x:f>Candidates!F2</x:f>
        <x:v>0.31711120448078245</x:v>
      </x:c>
      <x:c r="F12" s="138" t="n">
        <x:f>Candidates!L2</x:f>
        <x:v>90.10416666666667</x:v>
      </x:c>
    </x:row>
    <x:row r="13">
      <x:c r="A13" s="126" t="n">
        <x:f>Candidates!A3</x:f>
        <x:v>2</x:v>
      </x:c>
      <x:c r="B13" s="127" t="str">
        <x:f>Candidates!B3</x:f>
        <x:v>UNIONBANK</x:v>
      </x:c>
      <x:c r="C13" s="127" t="str">
        <x:f>Candidates!D3</x:f>
        <x:v>Financial Services</x:v>
      </x:c>
      <x:c r="D13" s="133" t="n">
        <x:f>Candidates!E3</x:f>
        <x:v>6.90609</x:v>
      </x:c>
      <x:c r="E13" s="136" t="n">
        <x:f>Candidates!F3</x:f>
        <x:v>0.3009302663355671</x:v>
      </x:c>
      <x:c r="F13" s="139" t="n">
        <x:f>Candidates!L3</x:f>
        <x:v>88.02083333333334</x:v>
      </x:c>
    </x:row>
    <x:row r="14">
      <x:c r="A14" s="126" t="n">
        <x:f>Candidates!A4</x:f>
        <x:v>3</x:v>
      </x:c>
      <x:c r="B14" s="127" t="str">
        <x:f>Candidates!B4</x:f>
        <x:v>SBIN</x:v>
      </x:c>
      <x:c r="C14" s="127" t="str">
        <x:f>Candidates!D4</x:f>
        <x:v>Financial Services</x:v>
      </x:c>
      <x:c r="D14" s="133" t="n">
        <x:f>Candidates!E4</x:f>
        <x:v>11.353516</x:v>
      </x:c>
      <x:c r="E14" s="136" t="n">
        <x:f>Candidates!F4</x:f>
        <x:v>0.3421956301084459</x:v>
      </x:c>
      <x:c r="F14" s="139" t="n">
        <x:f>Candidates!L4</x:f>
        <x:v>87.86458333333334</x:v>
      </x:c>
    </x:row>
    <x:row r="15">
      <x:c r="A15" s="126" t="n">
        <x:f>Candidates!A5</x:f>
        <x:v>4</x:v>
      </x:c>
      <x:c r="B15" s="127" t="str">
        <x:f>Candidates!B5</x:f>
        <x:v>HINDALCO</x:v>
      </x:c>
      <x:c r="C15" s="127" t="str">
        <x:f>Candidates!D5</x:f>
        <x:v>Metals &amp; Mining</x:v>
      </x:c>
      <x:c r="D15" s="133" t="n">
        <x:f>Candidates!E5</x:f>
        <x:v>16.771835</x:v>
      </x:c>
      <x:c r="E15" s="136" t="n">
        <x:f>Candidates!F5</x:f>
        <x:v>0.5863521016732303</x:v>
      </x:c>
      <x:c r="F15" s="139" t="n">
        <x:f>Candidates!L5</x:f>
        <x:v>87.39583333333334</x:v>
      </x:c>
    </x:row>
    <x:row r="16">
      <x:c r="A16" s="126" t="n">
        <x:f>Candidates!A6</x:f>
        <x:v>5</x:v>
      </x:c>
      <x:c r="B16" s="127" t="str">
        <x:f>Candidates!B6</x:f>
        <x:v>COALINDIA</x:v>
      </x:c>
      <x:c r="C16" s="127" t="str">
        <x:f>Candidates!D6</x:f>
        <x:v>Oil Gas &amp; Consumable Fuels</x:v>
      </x:c>
      <x:c r="D16" s="133" t="n">
        <x:f>Candidates!E6</x:f>
        <x:v>8.943718</x:v>
      </x:c>
      <x:c r="E16" s="136" t="n">
        <x:f>Candidates!F6</x:f>
        <x:v>0.2570686211889561</x:v>
      </x:c>
      <x:c r="F16" s="139" t="n">
        <x:f>Candidates!L6</x:f>
        <x:v>83.75</x:v>
      </x:c>
    </x:row>
    <x:row r="17">
      <x:c r="A17" s="126" t="n">
        <x:f>Candidates!A7</x:f>
        <x:v>6</x:v>
      </x:c>
      <x:c r="B17" s="127" t="str">
        <x:f>Candidates!B7</x:f>
        <x:v>BANKBARODA</x:v>
      </x:c>
      <x:c r="C17" s="127" t="str">
        <x:f>Candidates!D7</x:f>
        <x:v>Financial Services</x:v>
      </x:c>
      <x:c r="D17" s="133" t="n">
        <x:f>Candidates!E7</x:f>
        <x:v>7.322824</x:v>
      </x:c>
      <x:c r="E17" s="136" t="n">
        <x:f>Candidates!F7</x:f>
        <x:v>0.25244005911437495</x:v>
      </x:c>
      <x:c r="F17" s="139" t="n">
        <x:f>Candidates!L7</x:f>
        <x:v>83.54166666666667</x:v>
      </x:c>
    </x:row>
    <x:row r="18">
      <x:c r="A18" s="126" t="n">
        <x:f>Candidates!A8</x:f>
        <x:v>7</x:v>
      </x:c>
      <x:c r="B18" s="127" t="str">
        <x:f>Candidates!B8</x:f>
        <x:v>SHRIRAMFIN</x:v>
      </x:c>
      <x:c r="C18" s="127" t="str">
        <x:f>Candidates!D8</x:f>
        <x:v>Financial Services</x:v>
      </x:c>
      <x:c r="D18" s="133" t="n">
        <x:f>Candidates!E8</x:f>
        <x:v>18.832706</x:v>
      </x:c>
      <x:c r="E18" s="136" t="n">
        <x:f>Candidates!F8</x:f>
        <x:v>0.5524795403448548</x:v>
      </x:c>
      <x:c r="F18" s="139" t="n">
        <x:f>Candidates!L8</x:f>
        <x:v>83.54166666666666</x:v>
      </x:c>
    </x:row>
    <x:row r="19">
      <x:c r="A19" s="126" t="n">
        <x:f>Candidates!A9</x:f>
        <x:v>8</x:v>
      </x:c>
      <x:c r="B19" s="127" t="str">
        <x:f>Candidates!B9</x:f>
        <x:v>JSWSTEEL</x:v>
      </x:c>
      <x:c r="C19" s="127" t="str">
        <x:f>Candidates!D9</x:f>
        <x:v>Metals &amp; Mining</x:v>
      </x:c>
      <x:c r="D19" s="133" t="n">
        <x:f>Candidates!E9</x:f>
        <x:v>14.113327</x:v>
      </x:c>
      <x:c r="E19" s="136" t="n">
        <x:f>Candidates!F9</x:f>
        <x:v>0.29628785823266646</x:v>
      </x:c>
      <x:c r="F19" s="139" t="n">
        <x:f>Candidates!L9</x:f>
        <x:v>83.22916666666666</x:v>
      </x:c>
    </x:row>
    <x:row r="20">
      <x:c r="A20" s="126" t="n">
        <x:f>Candidates!A10</x:f>
        <x:v>9</x:v>
      </x:c>
      <x:c r="B20" s="127" t="str">
        <x:f>Candidates!B10</x:f>
        <x:v>HINDZINC</x:v>
      </x:c>
      <x:c r="C20" s="127" t="str">
        <x:f>Candidates!D10</x:f>
        <x:v>Metals &amp; Mining</x:v>
      </x:c>
      <x:c r="D20" s="133" t="n">
        <x:f>Candidates!E10</x:f>
        <x:v>17.21815</x:v>
      </x:c>
      <x:c r="E20" s="136" t="n">
        <x:f>Candidates!F10</x:f>
        <x:v>0.31179920607560097</x:v>
      </x:c>
      <x:c r="F20" s="139" t="n">
        <x:f>Candidates!L10</x:f>
        <x:v>80.625</x:v>
      </x:c>
    </x:row>
    <x:row r="21">
      <x:c r="A21" s="129" t="n">
        <x:f>Candidates!A11</x:f>
        <x:v>10</x:v>
      </x:c>
      <x:c r="B21" s="130" t="str">
        <x:f>Candidates!B11</x:f>
        <x:v>PFC</x:v>
      </x:c>
      <x:c r="C21" s="130" t="str">
        <x:f>Candidates!D11</x:f>
        <x:v>Financial Services</x:v>
      </x:c>
      <x:c r="D21" s="134" t="n">
        <x:f>Candidates!E11</x:f>
        <x:v>5.4911456</x:v>
      </x:c>
      <x:c r="E21" s="137" t="n">
        <x:f>Candidates!F11</x:f>
        <x:v>0.14551764463601913</x:v>
      </x:c>
      <x:c r="F21" s="140" t="n">
        <x:f>Candidates!L11</x:f>
        <x:v>79.58333333333334</x:v>
      </x:c>
    </x:row>
    <x:row r="24">
      <x:c r="A24" s="2" t="str">
        <x:v>Interpretation note</x:v>
      </x:c>
      <x:c r="B24" s="2"/>
      <x:c r="C24" s="2"/>
      <x:c r="D24" s="2"/>
      <x:c r="E24" s="2"/>
      <x:c r="F24" s="2"/>
    </x:row>
    <x:row r="25">
      <x:c r="A25" s="147" t="str">
        <x:v>Financial Services represents a large share of the current candidates. A high screening score is a prompt for deeper company and sector research—not a portfolio allocation or buy recommendation.</x:v>
      </x:c>
      <x:c r="B25" s="147"/>
      <x:c r="C25" s="147"/>
      <x:c r="D25" s="147"/>
      <x:c r="E25" s="147"/>
      <x:c r="F25" s="147"/>
      <x:c r="H25" s="142" t="str">
        <x:v>Symbol</x:v>
      </x:c>
      <x:c r="I25" s="142" t="str">
        <x:v>Value contribution</x:v>
      </x:c>
      <x:c r="J25" s="142" t="str">
        <x:v>Momentum contribution</x:v>
      </x:c>
    </x:row>
    <x:row r="26">
      <x:c r="A26" s="147"/>
      <x:c r="B26" s="147"/>
      <x:c r="C26" s="147"/>
      <x:c r="D26" s="147"/>
      <x:c r="E26" s="147"/>
      <x:c r="F26" s="147"/>
      <x:c r="H26" s="142" t="str">
        <x:f>Candidates!B2</x:f>
        <x:v>CANBK</x:v>
      </x:c>
      <x:c r="I26" s="143" t="n">
        <x:f>Candidates!J2*Assumptions!$B$8</x:f>
        <x:v>43.12500000000001</x:v>
      </x:c>
      <x:c r="J26" s="143" t="n">
        <x:f>Candidates!K2*Assumptions!$B$9</x:f>
        <x:v>46.979166666666664</x:v>
      </x:c>
    </x:row>
    <x:row r="27">
      <x:c r="A27" s="147"/>
      <x:c r="B27" s="147"/>
      <x:c r="C27" s="147"/>
      <x:c r="D27" s="147"/>
      <x:c r="E27" s="147"/>
      <x:c r="F27" s="147"/>
      <x:c r="H27" s="142" t="str">
        <x:f>Candidates!B3</x:f>
        <x:v>UNIONBANK</x:v>
      </x:c>
      <x:c r="I27" s="143" t="n">
        <x:f>Candidates!J3*Assumptions!$B$8</x:f>
        <x:v>42.1875</x:v>
      </x:c>
      <x:c r="J27" s="143" t="n">
        <x:f>Candidates!K3*Assumptions!$B$9</x:f>
        <x:v>45.83333333333334</x:v>
      </x:c>
    </x:row>
    <x:row r="28">
      <x:c r="A28" s="147"/>
      <x:c r="B28" s="147"/>
      <x:c r="C28" s="147"/>
      <x:c r="D28" s="147"/>
      <x:c r="E28" s="147"/>
      <x:c r="F28" s="147"/>
      <x:c r="H28" s="142" t="str">
        <x:f>Candidates!B4</x:f>
        <x:v>SBIN</x:v>
      </x:c>
      <x:c r="I28" s="143" t="n">
        <x:f>Candidates!J4*Assumptions!$B$8</x:f>
        <x:v>40.31250000000001</x:v>
      </x:c>
      <x:c r="J28" s="143" t="n">
        <x:f>Candidates!K4*Assumptions!$B$9</x:f>
        <x:v>47.55208333333334</x:v>
      </x:c>
    </x:row>
    <x:row r="29">
      <x:c r="H29" s="142" t="str">
        <x:f>Candidates!B5</x:f>
        <x:v>HINDALCO</x:v>
      </x:c>
      <x:c r="I29" s="143" t="n">
        <x:f>Candidates!J5*Assumptions!$B$8</x:f>
        <x:v>34.68750000000001</x:v>
      </x:c>
      <x:c r="J29" s="143" t="n">
        <x:f>Candidates!K5*Assumptions!$B$9</x:f>
        <x:v>52.70833333333334</x:v>
      </x:c>
    </x:row>
    <x:row r="30">
      <x:c r="H30" s="142" t="str">
        <x:f>Candidates!B6</x:f>
        <x:v>COALINDIA</x:v>
      </x:c>
      <x:c r="I30" s="143" t="n">
        <x:f>Candidates!J6*Assumptions!$B$8</x:f>
        <x:v>40.78125</x:v>
      </x:c>
      <x:c r="J30" s="143" t="n">
        <x:f>Candidates!K6*Assumptions!$B$9</x:f>
        <x:v>42.96875</x:v>
      </x:c>
    </x:row>
    <x:row r="31">
      <x:c r="H31" s="142" t="str">
        <x:f>Candidates!B7</x:f>
        <x:v>BANKBARODA</x:v>
      </x:c>
      <x:c r="I31" s="143" t="n">
        <x:f>Candidates!J7*Assumptions!$B$8</x:f>
        <x:v>41.71875000000001</x:v>
      </x:c>
      <x:c r="J31" s="143" t="n">
        <x:f>Candidates!K7*Assumptions!$B$9</x:f>
        <x:v>41.822916666666664</x:v>
      </x:c>
    </x:row>
    <x:row r="32">
      <x:c r="H32" s="142" t="str">
        <x:f>Candidates!B8</x:f>
        <x:v>SHRIRAMFIN</x:v>
      </x:c>
      <x:c r="I32" s="143" t="n">
        <x:f>Candidates!J8*Assumptions!$B$8</x:f>
        <x:v>31.406249999999996</x:v>
      </x:c>
      <x:c r="J32" s="143" t="n">
        <x:f>Candidates!K8*Assumptions!$B$9</x:f>
        <x:v>52.135416666666664</x:v>
      </x:c>
    </x:row>
    <x:row r="33">
      <x:c r="H33" s="142" t="str">
        <x:f>Candidates!B9</x:f>
        <x:v>JSWSTEEL</x:v>
      </x:c>
      <x:c r="I33" s="143" t="n">
        <x:f>Candidates!J9*Assumptions!$B$8</x:f>
        <x:v>37.96875</x:v>
      </x:c>
      <x:c r="J33" s="143" t="n">
        <x:f>Candidates!K9*Assumptions!$B$9</x:f>
        <x:v>45.260416666666664</x:v>
      </x:c>
    </x:row>
    <x:row r="34">
      <x:c r="H34" s="142" t="str">
        <x:f>Candidates!B10</x:f>
        <x:v>HINDZINC</x:v>
      </x:c>
      <x:c r="I34" s="143" t="n">
        <x:f>Candidates!J10*Assumptions!$B$8</x:f>
        <x:v>34.21875</x:v>
      </x:c>
      <x:c r="J34" s="143" t="n">
        <x:f>Candidates!K10*Assumptions!$B$9</x:f>
        <x:v>46.40625000000001</x:v>
      </x:c>
    </x:row>
    <x:row r="35">
      <x:c r="H35" s="142" t="str">
        <x:f>Candidates!B11</x:f>
        <x:v>PFC</x:v>
      </x:c>
      <x:c r="I35" s="143" t="n">
        <x:f>Candidates!J11*Assumptions!$B$8</x:f>
        <x:v>44.0625</x:v>
      </x:c>
      <x:c r="J35" s="143" t="n">
        <x:f>Candidates!K11*Assumptions!$B$9</x:f>
        <x:v>35.52083333333334</x:v>
      </x:c>
    </x:row>
  </x:sheetData>
  <x:mergeCells>
    <x:mergeCell ref="A1:N2"/>
    <x:mergeCell ref="A3:N3"/>
    <x:mergeCell ref="A5:C5"/>
    <x:mergeCell ref="A6:C7"/>
    <x:mergeCell ref="E5:G5"/>
    <x:mergeCell ref="E6:G7"/>
    <x:mergeCell ref="I5:K5"/>
    <x:mergeCell ref="I6:K7"/>
    <x:mergeCell ref="M5:N5"/>
    <x:mergeCell ref="M6:N7"/>
    <x:mergeCell ref="A10:F10"/>
    <x:mergeCell ref="A24:F24"/>
    <x:mergeCell ref="A25:F28"/>
  </x:mergeCells>
  <x:pageMargins left="0.7" right="0.7" top="0.75" bottom="0.75" header="0.3" footer="0.3"/>
  <x:drawing xmlns:r="http://schemas.openxmlformats.org/officeDocument/2006/relationships" r:id="R3f31f966404344e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</x:cols>
  <x:sheetData>
    <x:row r="1">
      <x:c r="A1" s="14" t="str">
        <x:v>Screening Assumptions &amp; Methodology</x:v>
      </x:c>
      <x:c r="B1" s="14"/>
      <x:c r="C1" s="14"/>
      <x:c r="D1" s="14"/>
      <x:c r="E1" s="14"/>
      <x:c r="F1" s="14"/>
    </x:row>
    <x:row r="2">
      <x:c r="A2" s="14"/>
      <x:c r="B2" s="14"/>
      <x:c r="C2" s="14"/>
      <x:c r="D2" s="14"/>
      <x:c r="E2" s="14"/>
      <x:c r="F2" s="14"/>
    </x:row>
    <x:row r="4">
      <x:c r="A4" s="23" t="str">
        <x:v>Input</x:v>
      </x:c>
      <x:c r="B4" s="23" t="str">
        <x:v>Value</x:v>
      </x:c>
    </x:row>
    <x:row r="5">
      <x:c r="A5" s="24" t="str">
        <x:v>Maximum positive trailing P/E</x:v>
      </x:c>
      <x:c r="B5" s="25" t="n">
        <x:v>30</x:v>
      </x:c>
    </x:row>
    <x:row r="6">
      <x:c r="A6" s="24" t="str">
        <x:v>Minimum trailing one-year return</x:v>
      </x:c>
      <x:c r="B6" s="26" t="n">
        <x:v>0.1</x:v>
      </x:c>
    </x:row>
    <x:row r="7">
      <x:c r="A7" s="24" t="str">
        <x:v>Minimum market cap (INR crore)</x:v>
      </x:c>
      <x:c r="B7" s="27" t="n">
        <x:v>10000</x:v>
      </x:c>
    </x:row>
    <x:row r="8">
      <x:c r="A8" s="24" t="str">
        <x:v>Value weight</x:v>
      </x:c>
      <x:c r="B8" s="26" t="n">
        <x:v>0.45</x:v>
      </x:c>
    </x:row>
    <x:row r="9">
      <x:c r="A9" s="24" t="str">
        <x:v>Momentum weight</x:v>
      </x:c>
      <x:c r="B9" s="26" t="n">
        <x:v>0.55</x:v>
      </x:c>
    </x:row>
    <x:row r="10">
      <x:c r="A10" s="24" t="str">
        <x:v>Weight check</x:v>
      </x:c>
      <x:c r="B10" s="28" t="n">
        <x:f>SUM(B8:B9)</x:f>
        <x:v>1</x:v>
      </x:c>
    </x:row>
    <x:row r="12">
      <x:c r="A12" s="2" t="str">
        <x:v>Model conventions</x:v>
      </x:c>
      <x:c r="B12" s="2"/>
      <x:c r="C12" s="2"/>
      <x:c r="D12" s="2"/>
      <x:c r="E12" s="2"/>
      <x:c r="F12" s="2"/>
    </x:row>
    <x:row r="13">
      <x:c r="A13" s="31" t="str">
        <x:v>Universe: official Nifty 100 constituent snapshot/current refresh.</x:v>
      </x:c>
      <x:c r="B13" s="31"/>
      <x:c r="C13" s="31"/>
      <x:c r="D13" s="31"/>
      <x:c r="E13" s="31"/>
      <x:c r="F13" s="31"/>
    </x:row>
    <x:row r="14">
      <x:c r="A14" s="31" t="str">
        <x:v>Value score: lower positive P/E receives a higher percentile.</x:v>
      </x:c>
      <x:c r="B14" s="31"/>
      <x:c r="C14" s="31"/>
      <x:c r="D14" s="31"/>
      <x:c r="E14" s="31"/>
      <x:c r="F14" s="31"/>
    </x:row>
    <x:row r="15">
      <x:c r="A15" s="31" t="str">
        <x:v>Momentum score: higher trailing one-year return receives a higher percentile.</x:v>
      </x:c>
      <x:c r="B15" s="31"/>
      <x:c r="C15" s="31"/>
      <x:c r="D15" s="31"/>
      <x:c r="E15" s="31"/>
      <x:c r="F15" s="31"/>
    </x:row>
    <x:row r="16">
      <x:c r="A16" s="31" t="str">
        <x:v>Composite score = 45% value + 55% momentum.</x:v>
      </x:c>
      <x:c r="B16" s="31"/>
      <x:c r="C16" s="31"/>
      <x:c r="D16" s="31"/>
      <x:c r="E16" s="31"/>
      <x:c r="F16" s="31"/>
    </x:row>
    <x:row r="17">
      <x:c r="A17" s="31" t="str">
        <x:v>Market cap is an eligibility rule, not a scoring factor.</x:v>
      </x:c>
      <x:c r="B17" s="31"/>
      <x:c r="C17" s="31"/>
      <x:c r="D17" s="31"/>
      <x:c r="E17" s="31"/>
      <x:c r="F17" s="31"/>
    </x:row>
    <x:row r="18">
      <x:c r="A18" s="31" t="str">
        <x:v>Snapshot output is educational research, not investment advice.</x:v>
      </x:c>
      <x:c r="B18" s="31"/>
      <x:c r="C18" s="31"/>
      <x:c r="D18" s="31"/>
      <x:c r="E18" s="31"/>
      <x:c r="F18" s="31"/>
    </x:row>
  </x:sheetData>
  <x:mergeCells>
    <x:mergeCell ref="A1:F2"/>
    <x:mergeCell ref="A12:F12"/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  <x:legacyDrawing xmlns:r="http://schemas.openxmlformats.org/officeDocument/2006/relationships" r:id="Rd03f49bb3d67441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28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6" hidden="0" customWidth="1"/>
    <x:col min="16" max="16" width="44" hidden="0" customWidth="1"/>
  </x:cols>
  <x:sheetData>
    <x:row r="1" ht="32" customHeight="1">
      <x:c r="A1" s="4" t="str">
        <x:v>Overall Rank</x:v>
      </x:c>
      <x:c r="B1" s="4" t="str">
        <x:v>Symbol</x:v>
      </x:c>
      <x:c r="C1" s="4" t="str">
        <x:v>Company Name</x:v>
      </x:c>
      <x:c r="D1" s="4" t="str">
        <x:v>Industry</x:v>
      </x:c>
      <x:c r="E1" s="4" t="str">
        <x:v>Trailing PE</x:v>
      </x:c>
      <x:c r="F1" s="4" t="str">
        <x:v>1Y Return</x:v>
      </x:c>
      <x:c r="G1" s="4" t="str">
        <x:v>Market Cap (INR Crore)</x:v>
      </x:c>
      <x:c r="H1" s="4" t="str">
        <x:v>Annualised Volatility</x:v>
      </x:c>
      <x:c r="I1" s="4" t="str">
        <x:v>Maximum Drawdown</x:v>
      </x:c>
      <x:c r="J1" s="4" t="str">
        <x:v>Value Score</x:v>
      </x:c>
      <x:c r="K1" s="4" t="str">
        <x:v>Momentum Score</x:v>
      </x:c>
      <x:c r="L1" s="4" t="str">
        <x:v>Composite Score</x:v>
      </x:c>
      <x:c r="M1" s="4" t="str">
        <x:v>Momentum Efficiency</x:v>
      </x:c>
      <x:c r="N1" s="4" t="str">
        <x:v>Industry Rank</x:v>
      </x:c>
      <x:c r="O1" s="4" t="str">
        <x:v>Selection Tier</x:v>
      </x:c>
      <x:c r="P1" s="4" t="str">
        <x:v>Source URL</x:v>
      </x:c>
    </x:row>
    <x:row r="2">
      <x:c r="A2" t="n">
        <x:v>1</x:v>
      </x:c>
      <x:c r="B2" t="str">
        <x:v>CANBK</x:v>
      </x:c>
      <x:c r="C2" t="str">
        <x:v>Canara Bank</x:v>
      </x:c>
      <x:c r="D2" t="str">
        <x:v>Financial Services</x:v>
      </x:c>
      <x:c r="E2" s="5" t="n">
        <x:v>6.1546254</x:v>
      </x:c>
      <x:c r="F2" s="6" t="n">
        <x:v>0.31711120448078245</x:v>
      </x:c>
      <x:c r="G2" s="7" t="n">
        <x:v>121310.8977664</x:v>
      </x:c>
      <x:c r="H2" s="6" t="n">
        <x:v>0.290453867106958</x:v>
      </x:c>
      <x:c r="I2" s="6" t="n">
        <x:v>-0.22324293713589782</x:v>
      </x:c>
      <x:c r="J2" s="8" t="n">
        <x:v>95.83333333333334</x:v>
      </x:c>
      <x:c r="K2" s="8" t="n">
        <x:v>85.41666666666666</x:v>
      </x:c>
      <x:c r="L2" s="8" t="n">
        <x:v>90.10416666666667</x:v>
      </x:c>
      <x:c r="M2" s="9" t="n">
        <x:v>1.0917782146932409</x:v>
      </x:c>
      <x:c r="N2" t="n">
        <x:v>1</x:v>
      </x:c>
      <x:c r="O2" t="str">
        <x:v>Top Quartile</x:v>
      </x:c>
      <x:c r="P2" t="str">
        <x:v>https://finance.yahoo.com/quote/CANBK.NS</x:v>
      </x:c>
    </x:row>
    <x:row r="3">
      <x:c r="A3" t="n">
        <x:v>2</x:v>
      </x:c>
      <x:c r="B3" t="str">
        <x:v>UNIONBANK</x:v>
      </x:c>
      <x:c r="C3" t="str">
        <x:v>Union Bank of India</x:v>
      </x:c>
      <x:c r="D3" t="str">
        <x:v>Financial Services</x:v>
      </x:c>
      <x:c r="E3" s="5" t="n">
        <x:v>6.90609</x:v>
      </x:c>
      <x:c r="F3" s="6" t="n">
        <x:v>0.3009302663355671</x:v>
      </x:c>
      <x:c r="G3" s="7" t="n">
        <x:v>134168.24832</x:v>
      </x:c>
      <x:c r="H3" s="6" t="n">
        <x:v>0.3218017318033177</x:v>
      </x:c>
      <x:c r="I3" s="6" t="n">
        <x:v>-0.21446583263220254</x:v>
      </x:c>
      <x:c r="J3" s="8" t="n">
        <x:v>93.75</x:v>
      </x:c>
      <x:c r="K3" s="8" t="n">
        <x:v>83.33333333333334</x:v>
      </x:c>
      <x:c r="L3" s="8" t="n">
        <x:v>88.02083333333334</x:v>
      </x:c>
      <x:c r="M3" s="9" t="n">
        <x:v>0.9351418485202339</x:v>
      </x:c>
      <x:c r="N3" t="n">
        <x:v>2</x:v>
      </x:c>
      <x:c r="O3" t="str">
        <x:v>Top Quartile</x:v>
      </x:c>
      <x:c r="P3" t="str">
        <x:v>https://finance.yahoo.com/quote/UNIONBANK.NS</x:v>
      </x:c>
    </x:row>
    <x:row r="4">
      <x:c r="A4" t="n">
        <x:v>3</x:v>
      </x:c>
      <x:c r="B4" t="str">
        <x:v>SBIN</x:v>
      </x:c>
      <x:c r="C4" t="str">
        <x:v>State Bank of India</x:v>
      </x:c>
      <x:c r="D4" t="str">
        <x:v>Financial Services</x:v>
      </x:c>
      <x:c r="E4" s="5" t="n">
        <x:v>11.353516</x:v>
      </x:c>
      <x:c r="F4" s="6" t="n">
        <x:v>0.3421956301084459</x:v>
      </x:c>
      <x:c r="G4" s="7" t="n">
        <x:v>955461.1929088</x:v>
      </x:c>
      <x:c r="H4" s="6" t="n">
        <x:v>0.22337084698613444</x:v>
      </x:c>
      <x:c r="I4" s="6" t="n">
        <x:v>-0.2211005228820222</x:v>
      </x:c>
      <x:c r="J4" s="8" t="n">
        <x:v>89.58333333333334</x:v>
      </x:c>
      <x:c r="K4" s="8" t="n">
        <x:v>86.45833333333334</x:v>
      </x:c>
      <x:c r="L4" s="8" t="n">
        <x:v>87.86458333333334</x:v>
      </x:c>
      <x:c r="M4" s="9" t="n">
        <x:v>1.5319619132289337</x:v>
      </x:c>
      <x:c r="N4" t="n">
        <x:v>3</x:v>
      </x:c>
      <x:c r="O4" t="str">
        <x:v>Top Quartile</x:v>
      </x:c>
      <x:c r="P4" t="str">
        <x:v>https://finance.yahoo.com/quote/SBIN.NS</x:v>
      </x:c>
    </x:row>
    <x:row r="5">
      <x:c r="A5" t="n">
        <x:v>4</x:v>
      </x:c>
      <x:c r="B5" t="str">
        <x:v>HINDALCO</x:v>
      </x:c>
      <x:c r="C5" t="str">
        <x:v>Hindalco Industries Ltd.</x:v>
      </x:c>
      <x:c r="D5" t="str">
        <x:v>Metals &amp; Mining</x:v>
      </x:c>
      <x:c r="E5" s="5" t="n">
        <x:v>16.771835</x:v>
      </x:c>
      <x:c r="F5" s="6" t="n">
        <x:v>0.5863521016732303</x:v>
      </x:c>
      <x:c r="G5" s="7" t="n">
        <x:v>225851.47392</x:v>
      </x:c>
      <x:c r="H5" s="6" t="n">
        <x:v>0.2749805653562046</x:v>
      </x:c>
      <x:c r="I5" s="6" t="n">
        <x:v>-0.17948346278432115</x:v>
      </x:c>
      <x:c r="J5" s="8" t="n">
        <x:v>77.08333333333334</x:v>
      </x:c>
      <x:c r="K5" s="8" t="n">
        <x:v>95.83333333333334</x:v>
      </x:c>
      <x:c r="L5" s="8" t="n">
        <x:v>87.39583333333334</x:v>
      </x:c>
      <x:c r="M5" s="9" t="n">
        <x:v>2.1323401561622397</x:v>
      </x:c>
      <x:c r="N5" t="n">
        <x:v>1</x:v>
      </x:c>
      <x:c r="O5" t="str">
        <x:v>Top Quartile</x:v>
      </x:c>
      <x:c r="P5" t="str">
        <x:v>https://finance.yahoo.com/quote/HINDALCO.NS</x:v>
      </x:c>
    </x:row>
    <x:row r="6">
      <x:c r="A6" t="n">
        <x:v>5</x:v>
      </x:c>
      <x:c r="B6" t="str">
        <x:v>COALINDIA</x:v>
      </x:c>
      <x:c r="C6" t="str">
        <x:v>Coal India Ltd.</x:v>
      </x:c>
      <x:c r="D6" t="str">
        <x:v>Oil Gas &amp; Consumable Fuels</x:v>
      </x:c>
      <x:c r="E6" s="5" t="n">
        <x:v>8.943718</x:v>
      </x:c>
      <x:c r="F6" s="6" t="n">
        <x:v>0.2570686211889561</x:v>
      </x:c>
      <x:c r="G6" s="7" t="n">
        <x:v>278123.9312384</x:v>
      </x:c>
      <x:c r="H6" s="6" t="n">
        <x:v>0.220628425223922</x:v>
      </x:c>
      <x:c r="I6" s="6" t="n">
        <x:v>-0.10268780399439048</x:v>
      </x:c>
      <x:c r="J6" s="8" t="n">
        <x:v>90.625</x:v>
      </x:c>
      <x:c r="K6" s="8" t="n">
        <x:v>78.125</x:v>
      </x:c>
      <x:c r="L6" s="8" t="n">
        <x:v>83.75</x:v>
      </x:c>
      <x:c r="M6" s="9" t="n">
        <x:v>1.1651654628276022</x:v>
      </x:c>
      <x:c r="N6" t="n">
        <x:v>1</x:v>
      </x:c>
      <x:c r="O6" t="str">
        <x:v>Top Quartile</x:v>
      </x:c>
      <x:c r="P6" t="str">
        <x:v>https://finance.yahoo.com/quote/COALINDIA.NS</x:v>
      </x:c>
    </x:row>
    <x:row r="7">
      <x:c r="A7" t="n">
        <x:v>6</x:v>
      </x:c>
      <x:c r="B7" t="str">
        <x:v>BANKBARODA</x:v>
      </x:c>
      <x:c r="C7" t="str">
        <x:v>Bank of Baroda</x:v>
      </x:c>
      <x:c r="D7" t="str">
        <x:v>Financial Services</x:v>
      </x:c>
      <x:c r="E7" s="5" t="n">
        <x:v>7.322824</x:v>
      </x:c>
      <x:c r="F7" s="6" t="n">
        <x:v>0.25244005911437495</x:v>
      </x:c>
      <x:c r="G7" s="7" t="n">
        <x:v>145341.1270656</x:v>
      </x:c>
      <x:c r="H7" s="6" t="n">
        <x:v>0.2653457014812464</x:v>
      </x:c>
      <x:c r="I7" s="6" t="n">
        <x:v>-0.23686238673575644</x:v>
      </x:c>
      <x:c r="J7" s="8" t="n">
        <x:v>92.70833333333334</x:v>
      </x:c>
      <x:c r="K7" s="8" t="n">
        <x:v>76.04166666666666</x:v>
      </x:c>
      <x:c r="L7" s="8" t="n">
        <x:v>83.54166666666667</x:v>
      </x:c>
      <x:c r="M7" s="9" t="n">
        <x:v>0.9513629114968588</x:v>
      </x:c>
      <x:c r="N7" t="n">
        <x:v>4</x:v>
      </x:c>
      <x:c r="O7" t="str">
        <x:v>Top Quartile</x:v>
      </x:c>
      <x:c r="P7" t="str">
        <x:v>https://finance.yahoo.com/quote/BANKBARODA.NS</x:v>
      </x:c>
    </x:row>
    <x:row r="8">
      <x:c r="A8" t="n">
        <x:v>7</x:v>
      </x:c>
      <x:c r="B8" t="str">
        <x:v>SHRIRAMFIN</x:v>
      </x:c>
      <x:c r="C8" t="str">
        <x:v>Shriram Finance Ltd.</x:v>
      </x:c>
      <x:c r="D8" t="str">
        <x:v>Financial Services</x:v>
      </x:c>
      <x:c r="E8" s="5" t="n">
        <x:v>18.832706</x:v>
      </x:c>
      <x:c r="F8" s="6" t="n">
        <x:v>0.5524795403448548</x:v>
      </x:c>
      <x:c r="G8" s="7" t="n">
        <x:v>235738.5756672</x:v>
      </x:c>
      <x:c r="H8" s="6" t="n">
        <x:v>0.35407338712594755</x:v>
      </x:c>
      <x:c r="I8" s="6" t="n">
        <x:v>-0.21048343756903476</x:v>
      </x:c>
      <x:c r="J8" s="8" t="n">
        <x:v>69.79166666666666</x:v>
      </x:c>
      <x:c r="K8" s="8" t="n">
        <x:v>94.79166666666666</x:v>
      </x:c>
      <x:c r="L8" s="8" t="n">
        <x:v>83.54166666666666</x:v>
      </x:c>
      <x:c r="M8" s="9" t="n">
        <x:v>1.5603531935268893</x:v>
      </x:c>
      <x:c r="N8" t="n">
        <x:v>5</x:v>
      </x:c>
      <x:c r="O8" t="str">
        <x:v>Top Quartile</x:v>
      </x:c>
      <x:c r="P8" t="str">
        <x:v>https://finance.yahoo.com/quote/SHRIRAMFIN.NS</x:v>
      </x:c>
    </x:row>
    <x:row r="9">
      <x:c r="A9" t="n">
        <x:v>8</x:v>
      </x:c>
      <x:c r="B9" t="str">
        <x:v>JSWSTEEL</x:v>
      </x:c>
      <x:c r="C9" t="str">
        <x:v>JSW Steel Ltd.</x:v>
      </x:c>
      <x:c r="D9" t="str">
        <x:v>Metals &amp; Mining</x:v>
      </x:c>
      <x:c r="E9" s="5" t="n">
        <x:v>14.113327</x:v>
      </x:c>
      <x:c r="F9" s="6" t="n">
        <x:v>0.29628785823266646</x:v>
      </x:c>
      <x:c r="G9" s="7" t="n">
        <x:v>314305.2558336</x:v>
      </x:c>
      <x:c r="H9" s="6" t="n">
        <x:v>0.2312149897788631</x:v>
      </x:c>
      <x:c r="I9" s="6" t="n">
        <x:v>-0.13353115981574115</x:v>
      </x:c>
      <x:c r="J9" s="8" t="n">
        <x:v>84.375</x:v>
      </x:c>
      <x:c r="K9" s="8" t="n">
        <x:v>82.29166666666666</x:v>
      </x:c>
      <x:c r="L9" s="8" t="n">
        <x:v>83.22916666666666</x:v>
      </x:c>
      <x:c r="M9" s="9" t="n">
        <x:v>1.2814387964899674</x:v>
      </x:c>
      <x:c r="N9" t="n">
        <x:v>2</x:v>
      </x:c>
      <x:c r="O9" t="str">
        <x:v>Top Quartile</x:v>
      </x:c>
      <x:c r="P9" t="str">
        <x:v>https://finance.yahoo.com/quote/JSWSTEEL.NS</x:v>
      </x:c>
    </x:row>
    <x:row r="10">
      <x:c r="A10" t="n">
        <x:v>9</x:v>
      </x:c>
      <x:c r="B10" t="str">
        <x:v>HINDZINC</x:v>
      </x:c>
      <x:c r="C10" t="str">
        <x:v>Hindustan Zinc Ltd.</x:v>
      </x:c>
      <x:c r="D10" t="str">
        <x:v>Metals &amp; Mining</x:v>
      </x:c>
      <x:c r="E10" s="5" t="n">
        <x:v>17.21815</x:v>
      </x:c>
      <x:c r="F10" s="6" t="n">
        <x:v>0.31179920607560097</x:v>
      </x:c>
      <x:c r="G10" s="7" t="n">
        <x:v>238117.84704</x:v>
      </x:c>
      <x:c r="H10" s="6" t="n">
        <x:v>0.3638575303247108</x:v>
      </x:c>
      <x:c r="I10" s="6" t="n">
        <x:v>-0.3294141964433981</x:v>
      </x:c>
      <x:c r="J10" s="8" t="n">
        <x:v>76.04166666666666</x:v>
      </x:c>
      <x:c r="K10" s="8" t="n">
        <x:v>84.375</x:v>
      </x:c>
      <x:c r="L10" s="8" t="n">
        <x:v>80.625</x:v>
      </x:c>
      <x:c r="M10" s="9" t="n">
        <x:v>0.8569266267413722</x:v>
      </x:c>
      <x:c r="N10" t="n">
        <x:v>3</x:v>
      </x:c>
      <x:c r="O10" t="str">
        <x:v>Top Quartile</x:v>
      </x:c>
      <x:c r="P10" t="str">
        <x:v>https://finance.yahoo.com/quote/HINDZINC.NS</x:v>
      </x:c>
    </x:row>
    <x:row r="11">
      <x:c r="A11" t="n">
        <x:v>10</x:v>
      </x:c>
      <x:c r="B11" t="str">
        <x:v>PFC</x:v>
      </x:c>
      <x:c r="C11" t="str">
        <x:v>Power Finance Corporation Ltd.</x:v>
      </x:c>
      <x:c r="D11" t="str">
        <x:v>Financial Services</x:v>
      </x:c>
      <x:c r="E11" s="5" t="n">
        <x:v>5.4911456</x:v>
      </x:c>
      <x:c r="F11" s="6" t="n">
        <x:v>0.14551764463601913</x:v>
      </x:c>
      <x:c r="G11" s="7" t="n">
        <x:v>142234.3798784</x:v>
      </x:c>
      <x:c r="H11" s="6" t="n">
        <x:v>0.2709197796781873</x:v>
      </x:c>
      <x:c r="I11" s="6" t="n">
        <x:v>-0.20755977314362273</x:v>
      </x:c>
      <x:c r="J11" s="8" t="n">
        <x:v>97.91666666666666</x:v>
      </x:c>
      <x:c r="K11" s="8" t="n">
        <x:v>64.58333333333334</x:v>
      </x:c>
      <x:c r="L11" s="8" t="n">
        <x:v>79.58333333333334</x:v>
      </x:c>
      <x:c r="M11" s="9" t="n">
        <x:v>0.5371244757723951</x:v>
      </x:c>
      <x:c r="N11" t="n">
        <x:v>6</x:v>
      </x:c>
      <x:c r="O11" t="str">
        <x:v>Top Quartile</x:v>
      </x:c>
      <x:c r="P11" t="str">
        <x:v>https://finance.yahoo.com/quote/PFC.NS</x:v>
      </x:c>
    </x:row>
    <x:row r="12">
      <x:c r="A12" t="n">
        <x:v>11</x:v>
      </x:c>
      <x:c r="B12" t="str">
        <x:v>MUTHOOTFIN</x:v>
      </x:c>
      <x:c r="C12" t="str">
        <x:v>Muthoot Finance Ltd.</x:v>
      </x:c>
      <x:c r="D12" t="str">
        <x:v>Financial Services</x:v>
      </x:c>
      <x:c r="E12" s="5" t="n">
        <x:v>11.850266</x:v>
      </x:c>
      <x:c r="F12" s="6" t="n">
        <x:v>0.1954543905584869</x:v>
      </x:c>
      <x:c r="G12" s="7" t="n">
        <x:v>125503.0652928</x:v>
      </x:c>
      <x:c r="H12" s="6" t="n">
        <x:v>0.35652007409222</x:v>
      </x:c>
      <x:c r="I12" s="6" t="n">
        <x:v>-0.28771994071152307</x:v>
      </x:c>
      <x:c r="J12" s="8" t="n">
        <x:v>88.54166666666666</x:v>
      </x:c>
      <x:c r="K12" s="8" t="n">
        <x:v>68.75</x:v>
      </x:c>
      <x:c r="L12" s="8" t="n">
        <x:v>77.65625</x:v>
      </x:c>
      <x:c r="M12" s="9" t="n">
        <x:v>0.5482282899670028</x:v>
      </x:c>
      <x:c r="N12" t="n">
        <x:v>7</x:v>
      </x:c>
      <x:c r="O12" t="str">
        <x:v>Top Quartile</x:v>
      </x:c>
      <x:c r="P12" t="str">
        <x:v>https://finance.yahoo.com/quote/MUTHOOTFIN.NS</x:v>
      </x:c>
    </x:row>
    <x:row r="13">
      <x:c r="A13" t="n">
        <x:v>12</x:v>
      </x:c>
      <x:c r="B13" t="str">
        <x:v>TATASTEEL</x:v>
      </x:c>
      <x:c r="C13" t="str">
        <x:v>Tata Steel Ltd.</x:v>
      </x:c>
      <x:c r="D13" t="str">
        <x:v>Metals &amp; Mining</x:v>
      </x:c>
      <x:c r="E13" s="5" t="n">
        <x:v>23.027777</x:v>
      </x:c>
      <x:c r="F13" s="6" t="n">
        <x:v>0.3447888392486038</x:v>
      </x:c>
      <x:c r="G13" s="7" t="n">
        <x:v>248139.9005184</x:v>
      </x:c>
      <x:c r="H13" s="6" t="n">
        <x:v>0.26947644029137874</x:v>
      </x:c>
      <x:c r="I13" s="6" t="n">
        <x:v>-0.1485245743852014</x:v>
      </x:c>
      <x:c r="J13" s="8" t="n">
        <x:v>62.5</x:v>
      </x:c>
      <x:c r="K13" s="8" t="n">
        <x:v>87.5</x:v>
      </x:c>
      <x:c r="L13" s="8" t="n">
        <x:v>76.25</x:v>
      </x:c>
      <x:c r="M13" s="9" t="n">
        <x:v>1.2794767471167108</x:v>
      </x:c>
      <x:c r="N13" t="n">
        <x:v>4</x:v>
      </x:c>
      <x:c r="O13" t="str">
        <x:v>Top Quartile</x:v>
      </x:c>
      <x:c r="P13" t="str">
        <x:v>https://finance.yahoo.com/quote/TATASTEEL.NS</x:v>
      </x:c>
    </x:row>
    <x:row r="14">
      <x:c r="A14" t="n">
        <x:v>13</x:v>
      </x:c>
      <x:c r="B14" t="str">
        <x:v>IOC</x:v>
      </x:c>
      <x:c r="C14" t="str">
        <x:v>Indian Oil Corporation Ltd.</x:v>
      </x:c>
      <x:c r="D14" t="str">
        <x:v>Oil Gas &amp; Consumable Fuels</x:v>
      </x:c>
      <x:c r="E14" s="5" t="n">
        <x:v>4.6918545</x:v>
      </x:c>
      <x:c r="F14" s="6" t="n">
        <x:v>0.10281639824132771</x:v>
      </x:c>
      <x:c r="G14" s="7" t="n">
        <x:v>202540.908544</x:v>
      </x:c>
      <x:c r="H14" s="6" t="n">
        <x:v>0.2583808094254801</x:v>
      </x:c>
      <x:c r="I14" s="6" t="n">
        <x:v>-0.288036217735986</x:v>
      </x:c>
      <x:c r="J14" s="8" t="n">
        <x:v>100</x:v>
      </x:c>
      <x:c r="K14" s="8" t="n">
        <x:v>56.25</x:v>
      </x:c>
      <x:c r="L14" s="8" t="n">
        <x:v>75.9375</x:v>
      </x:c>
      <x:c r="M14" s="9" t="n">
        <x:v>0.397925830753236</x:v>
      </x:c>
      <x:c r="N14" t="n">
        <x:v>2</x:v>
      </x:c>
      <x:c r="O14" t="str">
        <x:v>Top Quartile</x:v>
      </x:c>
      <x:c r="P14" t="str">
        <x:v>https://finance.yahoo.com/quote/IOC.NS</x:v>
      </x:c>
    </x:row>
    <x:row r="15">
      <x:c r="A15" t="n">
        <x:v>14</x:v>
      </x:c>
      <x:c r="B15" t="str">
        <x:v>PNB</x:v>
      </x:c>
      <x:c r="C15" t="str">
        <x:v>Punjab National Bank</x:v>
      </x:c>
      <x:c r="D15" t="str">
        <x:v>Financial Services</x:v>
      </x:c>
      <x:c r="E15" s="5" t="n">
        <x:v>6.798125</x:v>
      </x:c>
      <x:c r="F15" s="6" t="n">
        <x:v>0.1184335952898814</x:v>
      </x:c>
      <x:c r="G15" s="7" t="n">
        <x:v>125008.740352</x:v>
      </x:c>
      <x:c r="H15" s="6" t="n">
        <x:v>0.27595281924425036</x:v>
      </x:c>
      <x:c r="I15" s="6" t="n">
        <x:v>-0.24833792805470667</x:v>
      </x:c>
      <x:c r="J15" s="8" t="n">
        <x:v>94.79166666666666</x:v>
      </x:c>
      <x:c r="K15" s="8" t="n">
        <x:v>58.333333333333336</x:v>
      </x:c>
      <x:c r="L15" s="8" t="n">
        <x:v>74.73958333333334</x:v>
      </x:c>
      <x:c r="M15" s="9" t="n">
        <x:v>0.42918059548815074</x:v>
      </x:c>
      <x:c r="N15" t="n">
        <x:v>8</x:v>
      </x:c>
      <x:c r="O15" t="str">
        <x:v>Strong</x:v>
      </x:c>
      <x:c r="P15" t="str">
        <x:v>https://finance.yahoo.com/quote/PNB.NS</x:v>
      </x:c>
    </x:row>
    <x:row r="16">
      <x:c r="A16" t="n">
        <x:v>15</x:v>
      </x:c>
      <x:c r="B16" t="str">
        <x:v>NTPC</x:v>
      </x:c>
      <x:c r="C16" t="str">
        <x:v>NTPC Ltd.</x:v>
      </x:c>
      <x:c r="D16" t="str">
        <x:v>Power</x:v>
      </x:c>
      <x:c r="E16" s="5" t="n">
        <x:v>12.017082</x:v>
      </x:c>
      <x:c r="F16" s="6" t="n">
        <x:v>0.13756674816366044</x:v>
      </x:c>
      <x:c r="G16" s="7" t="n">
        <x:v>354704.0579584</x:v>
      </x:c>
      <x:c r="H16" s="6" t="n">
        <x:v>0.1866176857666172</x:v>
      </x:c>
      <x:c r="I16" s="6" t="n">
        <x:v>-0.15138957643953765</x:v>
      </x:c>
      <x:c r="J16" s="8" t="n">
        <x:v>87.5</x:v>
      </x:c>
      <x:c r="K16" s="8" t="n">
        <x:v>60.416666666666664</x:v>
      </x:c>
      <x:c r="L16" s="8" t="n">
        <x:v>72.60416666666667</x:v>
      </x:c>
      <x:c r="M16" s="9" t="n">
        <x:v>0.7371581508930535</x:v>
      </x:c>
      <x:c r="N16" t="n">
        <x:v>1</x:v>
      </x:c>
      <x:c r="O16" t="str">
        <x:v>Strong</x:v>
      </x:c>
      <x:c r="P16" t="str">
        <x:v>https://finance.yahoo.com/quote/NTPC.NS</x:v>
      </x:c>
    </x:row>
    <x:row r="17">
      <x:c r="A17" t="n">
        <x:v>16</x:v>
      </x:c>
      <x:c r="B17" t="str">
        <x:v>AXISBANK</x:v>
      </x:c>
      <x:c r="C17" t="str">
        <x:v>Axis Bank Ltd.</x:v>
      </x:c>
      <x:c r="D17" t="str">
        <x:v>Financial Services</x:v>
      </x:c>
      <x:c r="E17" s="5" t="n">
        <x:v>16.06222</x:v>
      </x:c>
      <x:c r="F17" s="6" t="n">
        <x:v>0.11627152493923121</x:v>
      </x:c>
      <x:c r="G17" s="7" t="n">
        <x:v>422341.0372608</x:v>
      </x:c>
      <x:c r="H17" s="6" t="n">
        <x:v>0.23498175984279862</x:v>
      </x:c>
      <x:c r="I17" s="6" t="n">
        <x:v>-0.1722736644133107</x:v>
      </x:c>
      <x:c r="J17" s="8" t="n">
        <x:v>79.16666666666666</x:v>
      </x:c>
      <x:c r="K17" s="8" t="n">
        <x:v>57.291666666666664</x:v>
      </x:c>
      <x:c r="L17" s="8" t="n">
        <x:v>67.13541666666667</x:v>
      </x:c>
      <x:c r="M17" s="9" t="n">
        <x:v>0.4948108526253959</x:v>
      </x:c>
      <x:c r="N17" t="n">
        <x:v>9</x:v>
      </x:c>
      <x:c r="O17" t="str">
        <x:v>Strong</x:v>
      </x:c>
      <x:c r="P17" t="str">
        <x:v>https://finance.yahoo.com/quote/AXISBANK.NS</x:v>
      </x:c>
    </x:row>
    <x:row r="18">
      <x:c r="A18" t="n">
        <x:v>17</x:v>
      </x:c>
      <x:c r="B18" t="str">
        <x:v>BAJAJ-AUTO</x:v>
      </x:c>
      <x:c r="C18" t="str">
        <x:v>Bajaj Auto Ltd.</x:v>
      </x:c>
      <x:c r="D18" t="str">
        <x:v>Automobile and Auto Components</x:v>
      </x:c>
      <x:c r="E18" s="5" t="n">
        <x:v>26.169924</x:v>
      </x:c>
      <x:c r="F18" s="6" t="n">
        <x:v>0.23191672729093704</x:v>
      </x:c>
      <x:c r="G18" s="7" t="n">
        <x:v>281114.9418496</x:v>
      </x:c>
      <x:c r="H18" s="6" t="n">
        <x:v>0.21805611766562225</x:v>
      </x:c>
      <x:c r="I18" s="6" t="n">
        <x:v>-0.13367955187626246</x:v>
      </x:c>
      <x:c r="J18" s="8" t="n">
        <x:v>59.375</x:v>
      </x:c>
      <x:c r="K18" s="8" t="n">
        <x:v>71.875</x:v>
      </x:c>
      <x:c r="L18" s="8" t="n">
        <x:v>66.25</x:v>
      </x:c>
      <x:c r="M18" s="9" t="n">
        <x:v>1.0635644153151866</x:v>
      </x:c>
      <x:c r="N18" t="n">
        <x:v>1</x:v>
      </x:c>
      <x:c r="O18" t="str">
        <x:v>Strong</x:v>
      </x:c>
      <x:c r="P18" t="str">
        <x:v>https://finance.yahoo.com/quote/BAJAJ-AUTO.NS</x:v>
      </x:c>
    </x:row>
    <x:row r="19">
      <x:c r="A19" t="n">
        <x:v>18</x:v>
      </x:c>
      <x:c r="B19" t="str">
        <x:v>ZYDUSLIFE</x:v>
      </x:c>
      <x:c r="C19" t="str">
        <x:v>Zydus Lifesciences Ltd.</x:v>
      </x:c>
      <x:c r="D19" t="str">
        <x:v>Healthcare</x:v>
      </x:c>
      <x:c r="E19" s="5" t="n">
        <x:v>21.394608</x:v>
      </x:c>
      <x:c r="F19" s="6" t="n">
        <x:v>0.14000993805512896</x:v>
      </x:c>
      <x:c r="G19" s="7" t="n">
        <x:v>107747.540992</x:v>
      </x:c>
      <x:c r="H19" s="6" t="n">
        <x:v>0.21677242506785654</x:v>
      </x:c>
      <x:c r="I19" s="6" t="n">
        <x:v>-0.17869924546717042</x:v>
      </x:c>
      <x:c r="J19" s="8" t="n">
        <x:v>66.66666666666666</x:v>
      </x:c>
      <x:c r="K19" s="8" t="n">
        <x:v>62.5</x:v>
      </x:c>
      <x:c r="L19" s="8" t="n">
        <x:v>64.375</x:v>
      </x:c>
      <x:c r="M19" s="9" t="n">
        <x:v>0.6458844477626777</x:v>
      </x:c>
      <x:c r="N19" t="n">
        <x:v>1</x:v>
      </x:c>
      <x:c r="O19" t="str">
        <x:v>Strong</x:v>
      </x:c>
      <x:c r="P19" t="str">
        <x:v>https://finance.yahoo.com/quote/ZYDUSLIFE.NS</x:v>
      </x:c>
    </x:row>
  </x:sheetData>
  <x:conditionalFormatting sqref="F2:F19">
    <x:cfRule type="colorScale" priority="1">
      <x:colorScale>
        <x:cfvo type="min"/>
        <x:cfvo type="percentile" val="50"/>
        <x:cfvo type="max"/>
        <x:color rgb="FFFEE2E2"/>
        <x:color rgb="FFFEF3C7"/>
        <x:color rgb="FFD1FAE5"/>
      </x:colorScale>
    </x:cfRule>
  </x:conditionalFormatting>
  <x:conditionalFormatting sqref="L2:L19">
    <x:cfRule type="dataBar" priority="2">
      <x:dataBar>
        <x:cfvo type="min"/>
        <x:cfvo type="max"/>
        <x:color rgb="FF2A9D8F"/>
      </x:dataBar>
      <x:extLst>
        <x:ext xmlns:x14="http://schemas.microsoft.com/office/spreadsheetml/2009/9/main" uri="{B025F937-C7B1-47D3-B67F-A62EFF666E3E}">
          <x14:id>{5E3D2E3B-5628-A497-1828-AE82BE829178}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79833c520954ba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E3D2E3B-5628-A497-1828-AE82BE829178}">
            <x14:dataBar gradient="1">
              <x14:cfvo type="min"/>
              <x14:cfvo type="max"/>
              <x14:fillColor rgb="FF2A9D8F"/>
            </x14:dataBar>
          </x14:cfRule>
          <xm:sqref>L2:L19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28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6" hidden="0" customWidth="1"/>
    <x:col min="16" max="16" width="44" hidden="0" customWidth="1"/>
  </x:cols>
  <x:sheetData>
    <x:row r="1" ht="32" customHeight="1">
      <x:c r="A1" s="4" t="str">
        <x:v>Overall Rank</x:v>
      </x:c>
      <x:c r="B1" s="4" t="str">
        <x:v>Symbol</x:v>
      </x:c>
      <x:c r="C1" s="4" t="str">
        <x:v>Company Name</x:v>
      </x:c>
      <x:c r="D1" s="4" t="str">
        <x:v>Industry</x:v>
      </x:c>
      <x:c r="E1" s="4" t="str">
        <x:v>Trailing PE</x:v>
      </x:c>
      <x:c r="F1" s="4" t="str">
        <x:v>1Y Return</x:v>
      </x:c>
      <x:c r="G1" s="4" t="str">
        <x:v>Market Cap (INR Crore)</x:v>
      </x:c>
      <x:c r="H1" s="4" t="str">
        <x:v>Annualised Volatility</x:v>
      </x:c>
      <x:c r="I1" s="4" t="str">
        <x:v>Maximum Drawdown</x:v>
      </x:c>
      <x:c r="J1" s="4" t="str">
        <x:v>Value Score</x:v>
      </x:c>
      <x:c r="K1" s="4" t="str">
        <x:v>Momentum Score</x:v>
      </x:c>
      <x:c r="L1" s="4" t="str">
        <x:v>Composite Score</x:v>
      </x:c>
      <x:c r="M1" s="4" t="str">
        <x:v>Momentum Efficiency</x:v>
      </x:c>
      <x:c r="N1" s="4" t="str">
        <x:v>Industry Rank</x:v>
      </x:c>
      <x:c r="O1" s="4" t="str">
        <x:v>Selection Tier</x:v>
      </x:c>
      <x:c r="P1" s="4" t="str">
        <x:v>Source URL</x:v>
      </x:c>
    </x:row>
    <x:row r="2">
      <x:c r="A2" t="n">
        <x:v>1</x:v>
      </x:c>
      <x:c r="B2" t="str">
        <x:v>CANBK</x:v>
      </x:c>
      <x:c r="C2" t="str">
        <x:v>Canara Bank</x:v>
      </x:c>
      <x:c r="D2" t="str">
        <x:v>Financial Services</x:v>
      </x:c>
      <x:c r="E2" s="5" t="n">
        <x:v>6.1546254</x:v>
      </x:c>
      <x:c r="F2" s="6" t="n">
        <x:v>0.31711120448078245</x:v>
      </x:c>
      <x:c r="G2" s="7" t="n">
        <x:v>121310.8977664</x:v>
      </x:c>
      <x:c r="H2" s="6" t="n">
        <x:v>0.290453867106958</x:v>
      </x:c>
      <x:c r="I2" s="6" t="n">
        <x:v>-0.22324293713589782</x:v>
      </x:c>
      <x:c r="J2" s="8" t="n">
        <x:v>95.83333333333334</x:v>
      </x:c>
      <x:c r="K2" s="8" t="n">
        <x:v>85.41666666666666</x:v>
      </x:c>
      <x:c r="L2" s="8" t="n">
        <x:v>90.10416666666667</x:v>
      </x:c>
      <x:c r="M2" s="9" t="n">
        <x:v>1.0917782146932409</x:v>
      </x:c>
      <x:c r="N2" t="n">
        <x:v>1</x:v>
      </x:c>
      <x:c r="O2" t="str">
        <x:v>Top Quartile</x:v>
      </x:c>
      <x:c r="P2" t="str">
        <x:v>https://finance.yahoo.com/quote/CANBK.NS</x:v>
      </x:c>
    </x:row>
    <x:row r="3">
      <x:c r="A3" t="n">
        <x:v>4</x:v>
      </x:c>
      <x:c r="B3" t="str">
        <x:v>HINDALCO</x:v>
      </x:c>
      <x:c r="C3" t="str">
        <x:v>Hindalco Industries Ltd.</x:v>
      </x:c>
      <x:c r="D3" t="str">
        <x:v>Metals &amp; Mining</x:v>
      </x:c>
      <x:c r="E3" s="5" t="n">
        <x:v>16.771835</x:v>
      </x:c>
      <x:c r="F3" s="6" t="n">
        <x:v>0.5863521016732303</x:v>
      </x:c>
      <x:c r="G3" s="7" t="n">
        <x:v>225851.47392</x:v>
      </x:c>
      <x:c r="H3" s="6" t="n">
        <x:v>0.2749805653562046</x:v>
      </x:c>
      <x:c r="I3" s="6" t="n">
        <x:v>-0.17948346278432115</x:v>
      </x:c>
      <x:c r="J3" s="8" t="n">
        <x:v>77.08333333333334</x:v>
      </x:c>
      <x:c r="K3" s="8" t="n">
        <x:v>95.83333333333334</x:v>
      </x:c>
      <x:c r="L3" s="8" t="n">
        <x:v>87.39583333333334</x:v>
      </x:c>
      <x:c r="M3" s="9" t="n">
        <x:v>2.1323401561622397</x:v>
      </x:c>
      <x:c r="N3" t="n">
        <x:v>1</x:v>
      </x:c>
      <x:c r="O3" t="str">
        <x:v>Top Quartile</x:v>
      </x:c>
      <x:c r="P3" t="str">
        <x:v>https://finance.yahoo.com/quote/HINDALCO.NS</x:v>
      </x:c>
    </x:row>
    <x:row r="4">
      <x:c r="A4" t="n">
        <x:v>5</x:v>
      </x:c>
      <x:c r="B4" t="str">
        <x:v>COALINDIA</x:v>
      </x:c>
      <x:c r="C4" t="str">
        <x:v>Coal India Ltd.</x:v>
      </x:c>
      <x:c r="D4" t="str">
        <x:v>Oil Gas &amp; Consumable Fuels</x:v>
      </x:c>
      <x:c r="E4" s="5" t="n">
        <x:v>8.943718</x:v>
      </x:c>
      <x:c r="F4" s="6" t="n">
        <x:v>0.2570686211889561</x:v>
      </x:c>
      <x:c r="G4" s="7" t="n">
        <x:v>278123.9312384</x:v>
      </x:c>
      <x:c r="H4" s="6" t="n">
        <x:v>0.220628425223922</x:v>
      </x:c>
      <x:c r="I4" s="6" t="n">
        <x:v>-0.10268780399439048</x:v>
      </x:c>
      <x:c r="J4" s="8" t="n">
        <x:v>90.625</x:v>
      </x:c>
      <x:c r="K4" s="8" t="n">
        <x:v>78.125</x:v>
      </x:c>
      <x:c r="L4" s="8" t="n">
        <x:v>83.75</x:v>
      </x:c>
      <x:c r="M4" s="9" t="n">
        <x:v>1.1651654628276022</x:v>
      </x:c>
      <x:c r="N4" t="n">
        <x:v>1</x:v>
      </x:c>
      <x:c r="O4" t="str">
        <x:v>Top Quartile</x:v>
      </x:c>
      <x:c r="P4" t="str">
        <x:v>https://finance.yahoo.com/quote/COALINDIA.NS</x:v>
      </x:c>
    </x:row>
    <x:row r="5">
      <x:c r="A5" t="n">
        <x:v>15</x:v>
      </x:c>
      <x:c r="B5" t="str">
        <x:v>NTPC</x:v>
      </x:c>
      <x:c r="C5" t="str">
        <x:v>NTPC Ltd.</x:v>
      </x:c>
      <x:c r="D5" t="str">
        <x:v>Power</x:v>
      </x:c>
      <x:c r="E5" s="5" t="n">
        <x:v>12.017082</x:v>
      </x:c>
      <x:c r="F5" s="6" t="n">
        <x:v>0.13756674816366044</x:v>
      </x:c>
      <x:c r="G5" s="7" t="n">
        <x:v>354704.0579584</x:v>
      </x:c>
      <x:c r="H5" s="6" t="n">
        <x:v>0.1866176857666172</x:v>
      </x:c>
      <x:c r="I5" s="6" t="n">
        <x:v>-0.15138957643953765</x:v>
      </x:c>
      <x:c r="J5" s="8" t="n">
        <x:v>87.5</x:v>
      </x:c>
      <x:c r="K5" s="8" t="n">
        <x:v>60.416666666666664</x:v>
      </x:c>
      <x:c r="L5" s="8" t="n">
        <x:v>72.60416666666667</x:v>
      </x:c>
      <x:c r="M5" s="9" t="n">
        <x:v>0.7371581508930535</x:v>
      </x:c>
      <x:c r="N5" t="n">
        <x:v>1</x:v>
      </x:c>
      <x:c r="O5" t="str">
        <x:v>Strong</x:v>
      </x:c>
      <x:c r="P5" t="str">
        <x:v>https://finance.yahoo.com/quote/NTPC.NS</x:v>
      </x:c>
    </x:row>
    <x:row r="6">
      <x:c r="A6" t="n">
        <x:v>17</x:v>
      </x:c>
      <x:c r="B6" t="str">
        <x:v>BAJAJ-AUTO</x:v>
      </x:c>
      <x:c r="C6" t="str">
        <x:v>Bajaj Auto Ltd.</x:v>
      </x:c>
      <x:c r="D6" t="str">
        <x:v>Automobile and Auto Components</x:v>
      </x:c>
      <x:c r="E6" s="5" t="n">
        <x:v>26.169924</x:v>
      </x:c>
      <x:c r="F6" s="6" t="n">
        <x:v>0.23191672729093704</x:v>
      </x:c>
      <x:c r="G6" s="7" t="n">
        <x:v>281114.9418496</x:v>
      </x:c>
      <x:c r="H6" s="6" t="n">
        <x:v>0.21805611766562225</x:v>
      </x:c>
      <x:c r="I6" s="6" t="n">
        <x:v>-0.13367955187626246</x:v>
      </x:c>
      <x:c r="J6" s="8" t="n">
        <x:v>59.375</x:v>
      </x:c>
      <x:c r="K6" s="8" t="n">
        <x:v>71.875</x:v>
      </x:c>
      <x:c r="L6" s="8" t="n">
        <x:v>66.25</x:v>
      </x:c>
      <x:c r="M6" s="9" t="n">
        <x:v>1.0635644153151866</x:v>
      </x:c>
      <x:c r="N6" t="n">
        <x:v>1</x:v>
      </x:c>
      <x:c r="O6" t="str">
        <x:v>Strong</x:v>
      </x:c>
      <x:c r="P6" t="str">
        <x:v>https://finance.yahoo.com/quote/BAJAJ-AUTO.NS</x:v>
      </x:c>
    </x:row>
    <x:row r="7">
      <x:c r="A7" t="n">
        <x:v>18</x:v>
      </x:c>
      <x:c r="B7" t="str">
        <x:v>ZYDUSLIFE</x:v>
      </x:c>
      <x:c r="C7" t="str">
        <x:v>Zydus Lifesciences Ltd.</x:v>
      </x:c>
      <x:c r="D7" t="str">
        <x:v>Healthcare</x:v>
      </x:c>
      <x:c r="E7" s="5" t="n">
        <x:v>21.394608</x:v>
      </x:c>
      <x:c r="F7" s="6" t="n">
        <x:v>0.14000993805512896</x:v>
      </x:c>
      <x:c r="G7" s="7" t="n">
        <x:v>107747.540992</x:v>
      </x:c>
      <x:c r="H7" s="6" t="n">
        <x:v>0.21677242506785654</x:v>
      </x:c>
      <x:c r="I7" s="6" t="n">
        <x:v>-0.17869924546717042</x:v>
      </x:c>
      <x:c r="J7" s="8" t="n">
        <x:v>66.66666666666666</x:v>
      </x:c>
      <x:c r="K7" s="8" t="n">
        <x:v>62.5</x:v>
      </x:c>
      <x:c r="L7" s="8" t="n">
        <x:v>64.375</x:v>
      </x:c>
      <x:c r="M7" s="9" t="n">
        <x:v>0.6458844477626777</x:v>
      </x:c>
      <x:c r="N7" t="n">
        <x:v>1</x:v>
      </x:c>
      <x:c r="O7" t="str">
        <x:v>Strong</x:v>
      </x:c>
      <x:c r="P7" t="str">
        <x:v>https://finance.yahoo.com/quote/ZYDUSLIFE.NS</x:v>
      </x:c>
    </x:row>
  </x:sheetData>
  <x:pageMargins left="0.7" right="0.7" top="0.75" bottom="0.75" header="0.3" footer="0.3"/>
  <x:tableParts count="1">
    <x:tablePart xmlns:r="http://schemas.openxmlformats.org/officeDocument/2006/relationships" r:id="Re86e4168720244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</x:cols>
  <x:sheetData>
    <x:row r="1" ht="32" customHeight="1">
      <x:c r="A1" s="4" t="str">
        <x:v>Measure</x:v>
      </x:c>
      <x:c r="B1" s="4" t="str">
        <x:v>Value</x:v>
      </x:c>
    </x:row>
    <x:row r="2">
      <x:c r="A2" t="str">
        <x:v>Universe size</x:v>
      </x:c>
      <x:c r="B2" t="n">
        <x:v>102</x:v>
      </x:c>
    </x:row>
    <x:row r="3">
      <x:c r="A3" t="str">
        <x:v>Complete required fields</x:v>
      </x:c>
      <x:c r="B3" t="n">
        <x:v>96</x:v>
      </x:c>
    </x:row>
    <x:row r="4">
      <x:c r="A4" t="str">
        <x:v>Passed all filters</x:v>
      </x:c>
      <x:c r="B4" t="n">
        <x:v>18</x:v>
      </x:c>
    </x:row>
    <x:row r="5">
      <x:c r="A5" t="str">
        <x:v>Missing trailing P/E</x:v>
      </x:c>
      <x:c r="B5" t="n">
        <x:v>3</x:v>
      </x:c>
    </x:row>
    <x:row r="6">
      <x:c r="A6" t="str">
        <x:v>Missing one-year return</x:v>
      </x:c>
      <x:c r="B6" t="n">
        <x:v>4</x:v>
      </x:c>
    </x:row>
    <x:row r="7">
      <x:c r="A7" t="str">
        <x:v>Missing market cap</x:v>
      </x:c>
      <x:c r="B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efa998038b44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14" hidden="0" customWidth="1"/>
    <x:col min="5" max="5" width="14" hidden="0" customWidth="1"/>
    <x:col min="6" max="6" width="20" hidden="0" customWidth="1"/>
    <x:col min="7" max="7" width="34" hidden="0" customWidth="1"/>
    <x:col min="8" max="8" width="34" hidden="0" customWidth="1"/>
    <x:col min="9" max="9" width="34" hidden="0" customWidth="1"/>
    <x:col min="10" max="10" width="44" hidden="0" customWidth="1"/>
  </x:cols>
  <x:sheetData>
    <x:row r="1" ht="32" customHeight="1">
      <x:c r="A1" s="4" t="str">
        <x:v>Symbol</x:v>
      </x:c>
      <x:c r="B1" s="4" t="str">
        <x:v>Company Name</x:v>
      </x:c>
      <x:c r="C1" s="4" t="str">
        <x:v>Industry</x:v>
      </x:c>
      <x:c r="D1" s="4" t="str">
        <x:v>Trailing PE</x:v>
      </x:c>
      <x:c r="E1" s="4" t="str">
        <x:v>1Y Return</x:v>
      </x:c>
      <x:c r="F1" s="4" t="str">
        <x:v>Market Cap (INR Crore)</x:v>
      </x:c>
      <x:c r="G1" s="4" t="str">
        <x:v>Screen Result</x:v>
      </x:c>
      <x:c r="H1" s="4" t="str">
        <x:v>Price Error</x:v>
      </x:c>
      <x:c r="I1" s="4" t="str">
        <x:v>Fundamental Error</x:v>
      </x:c>
      <x:c r="J1" s="4" t="str">
        <x:v>Source URL</x:v>
      </x:c>
    </x:row>
    <x:row r="2">
      <x:c r="A2" t="str">
        <x:v>ADANIPOWER</x:v>
      </x:c>
      <x:c r="B2" t="str">
        <x:v>Adani Power Ltd.</x:v>
      </x:c>
      <x:c r="C2" t="str">
        <x:v>Power</x:v>
      </x:c>
      <x:c r="D2" s="5" t="n">
        <x:v>35.062027</x:v>
      </x:c>
      <x:c r="E2" s="6" t="n">
        <x:v>1.1599253300584058</x:v>
      </x:c>
      <x:c r="F2" s="7" t="n">
        <x:v>446942.0982272</x:v>
      </x:c>
      <x:c r="G2" t="str">
        <x:v>P/E above 30</x:v>
      </x:c>
      <x:c r="H2"/>
      <x:c r="I2"/>
      <x:c r="J2" t="str">
        <x:v>https://finance.yahoo.com/quote/ADANIPOWER.NS</x:v>
      </x:c>
    </x:row>
    <x:row r="3">
      <x:c r="A3" t="str">
        <x:v>ADANIPORTS</x:v>
      </x:c>
      <x:c r="B3" t="str">
        <x:v>Adani Ports and Special Economic Zone Ltd.</x:v>
      </x:c>
      <x:c r="C3" t="str">
        <x:v>Services</x:v>
      </x:c>
      <x:c r="D3" s="5" t="n">
        <x:v>31.480276</x:v>
      </x:c>
      <x:c r="E3" s="6" t="n">
        <x:v>0.3774549936160638</x:v>
      </x:c>
      <x:c r="F3" s="7" t="n">
        <x:v>422845.612032</x:v>
      </x:c>
      <x:c r="G3" t="str">
        <x:v>P/E above 30</x:v>
      </x:c>
      <x:c r="H3"/>
      <x:c r="I3"/>
      <x:c r="J3" t="str">
        <x:v>https://finance.yahoo.com/quote/ADANIPORTS.NS</x:v>
      </x:c>
    </x:row>
    <x:row r="4">
      <x:c r="A4" t="str">
        <x:v>MOTHERSON</x:v>
      </x:c>
      <x:c r="B4" t="str">
        <x:v>Samvardhana Motherson International Ltd.</x:v>
      </x:c>
      <x:c r="C4" t="str">
        <x:v>Automobile and Auto Components</x:v>
      </x:c>
      <x:c r="D4" s="5" t="n">
        <x:v>39.765026</x:v>
      </x:c>
      <x:c r="E4" s="6" t="n">
        <x:v>0.4857112905602492</x:v>
      </x:c>
      <x:c r="F4" s="7" t="n">
        <x:v>153271.5204608</x:v>
      </x:c>
      <x:c r="G4" t="str">
        <x:v>P/E above 30</x:v>
      </x:c>
      <x:c r="H4"/>
      <x:c r="I4"/>
      <x:c r="J4" t="str">
        <x:v>https://finance.yahoo.com/quote/MOTHERSON.NS</x:v>
      </x:c>
    </x:row>
    <x:row r="5">
      <x:c r="A5" t="str">
        <x:v>EICHERMOT</x:v>
      </x:c>
      <x:c r="B5" t="str">
        <x:v>Eicher Motors Ltd.</x:v>
      </x:c>
      <x:c r="C5" t="str">
        <x:v>Automobile and Auto Components</x:v>
      </x:c>
      <x:c r="D5" s="5" t="n">
        <x:v>37.988518</x:v>
      </x:c>
      <x:c r="E5" s="6" t="n">
        <x:v>0.4034200880857841</x:v>
      </x:c>
      <x:c r="F5" s="7" t="n">
        <x:v>208920.0779264</x:v>
      </x:c>
      <x:c r="G5" t="str">
        <x:v>P/E above 30</x:v>
      </x:c>
      <x:c r="H5"/>
      <x:c r="I5"/>
      <x:c r="J5" t="str">
        <x:v>https://finance.yahoo.com/quote/EICHERMOT.NS</x:v>
      </x:c>
    </x:row>
    <x:row r="6">
      <x:c r="A6" t="str">
        <x:v>BPCL</x:v>
      </x:c>
      <x:c r="B6" t="str">
        <x:v>Bharat Petroleum Corporation Ltd.</x:v>
      </x:c>
      <x:c r="C6" t="str">
        <x:v>Oil Gas &amp; Consumable Fuels</x:v>
      </x:c>
      <x:c r="D6" s="5" t="n">
        <x:v>5.0694447</x:v>
      </x:c>
      <x:c r="E6" s="6" t="n">
        <x:v>0.0421249344306831</x:v>
      </x:c>
      <x:c r="F6" s="7" t="n">
        <x:v>130997.4593536</x:v>
      </x:c>
      <x:c r="G6" t="str">
        <x:v>1Y return below 10%</x:v>
      </x:c>
      <x:c r="H6"/>
      <x:c r="I6"/>
      <x:c r="J6" t="str">
        <x:v>https://finance.yahoo.com/quote/BPCL.NS</x:v>
      </x:c>
    </x:row>
    <x:row r="7">
      <x:c r="A7" t="str">
        <x:v>JINDALSTEL</x:v>
      </x:c>
      <x:c r="B7" t="str">
        <x:v>Jindal Steel Ltd.</x:v>
      </x:c>
      <x:c r="C7" t="str">
        <x:v>Metals &amp; Mining</x:v>
      </x:c>
      <x:c r="D7" s="5" t="n">
        <x:v>34.299065</x:v>
      </x:c>
      <x:c r="E7" s="6" t="n">
        <x:v>0.28453091348175175</x:v>
      </x:c>
      <x:c r="F7" s="7" t="n">
        <x:v>115759.6184576</x:v>
      </x:c>
      <x:c r="G7" t="str">
        <x:v>P/E above 30</x:v>
      </x:c>
      <x:c r="H7"/>
      <x:c r="I7"/>
      <x:c r="J7" t="str">
        <x:v>https://finance.yahoo.com/quote/JINDALSTEL.NS</x:v>
      </x:c>
    </x:row>
    <x:row r="8">
      <x:c r="A8" t="str">
        <x:v>ONGC</x:v>
      </x:c>
      <x:c r="B8" t="str">
        <x:v>Oil &amp; Natural Gas Corporation Ltd.</x:v>
      </x:c>
      <x:c r="C8" t="str">
        <x:v>Oil Gas &amp; Consumable Fuels</x:v>
      </x:c>
      <x:c r="D8" s="5" t="n">
        <x:v>7.4757137</x:v>
      </x:c>
      <x:c r="E8" s="6" t="n">
        <x:v>0.03187386543038029</x:v>
      </x:c>
      <x:c r="F8" s="7" t="n">
        <x:v>309789.3797888</x:v>
      </x:c>
      <x:c r="G8" t="str">
        <x:v>1Y return below 10%</x:v>
      </x:c>
      <x:c r="H8"/>
      <x:c r="I8"/>
      <x:c r="J8" t="str">
        <x:v>https://finance.yahoo.com/quote/ONGC.NS</x:v>
      </x:c>
    </x:row>
    <x:row r="9">
      <x:c r="A9" t="str">
        <x:v>POWERGRID</x:v>
      </x:c>
      <x:c r="B9" t="str">
        <x:v>Power Grid Corporation of India Ltd.</x:v>
      </x:c>
      <x:c r="C9" t="str">
        <x:v>Power</x:v>
      </x:c>
      <x:c r="D9" s="5" t="n">
        <x:v>14.539801</x:v>
      </x:c>
      <x:c r="E9" s="6" t="n">
        <x:v>0.05359286855734613</x:v>
      </x:c>
      <x:c r="F9" s="7" t="n">
        <x:v>271810.1405696</x:v>
      </x:c>
      <x:c r="G9" t="str">
        <x:v>1Y return below 10%</x:v>
      </x:c>
      <x:c r="H9"/>
      <x:c r="I9"/>
      <x:c r="J9" t="str">
        <x:v>https://finance.yahoo.com/quote/POWERGRID.NS</x:v>
      </x:c>
    </x:row>
    <x:row r="10">
      <x:c r="A10" t="str">
        <x:v>CUMMINSIND</x:v>
      </x:c>
      <x:c r="B10" t="str">
        <x:v>Cummins India Ltd.</x:v>
      </x:c>
      <x:c r="C10" t="str">
        <x:v>Capital Goods</x:v>
      </x:c>
      <x:c r="D10" s="5" t="n">
        <x:v>68.77345</x:v>
      </x:c>
      <x:c r="E10" s="6" t="n">
        <x:v>0.8371008252601364</x:v>
      </x:c>
      <x:c r="F10" s="7" t="n">
        <x:v>162577.8028544</x:v>
      </x:c>
      <x:c r="G10" t="str">
        <x:v>P/E above 30</x:v>
      </x:c>
      <x:c r="H10"/>
      <x:c r="I10"/>
      <x:c r="J10" t="str">
        <x:v>https://finance.yahoo.com/quote/CUMMINSIND.NS</x:v>
      </x:c>
    </x:row>
    <x:row r="11">
      <x:c r="A11" t="str">
        <x:v>RECLTD</x:v>
      </x:c>
      <x:c r="B11" t="str">
        <x:v>REC Ltd.</x:v>
      </x:c>
      <x:c r="C11" t="str">
        <x:v>Financial Services</x:v>
      </x:c>
      <x:c r="D11" s="5" t="n">
        <x:v>5.74721</x:v>
      </x:c>
      <x:c r="E11" s="6" t="n">
        <x:v>-0.02371665510883436</x:v>
      </x:c>
      <x:c r="F11" s="7" t="n">
        <x:v>93571.612672</x:v>
      </x:c>
      <x:c r="G11" t="str">
        <x:v>1Y return below 10%</x:v>
      </x:c>
      <x:c r="H11"/>
      <x:c r="I11"/>
      <x:c r="J11" t="str">
        <x:v>https://finance.yahoo.com/quote/RECLTD.NS</x:v>
      </x:c>
    </x:row>
    <x:row r="12">
      <x:c r="A12" t="str">
        <x:v>BOSCHLTD</x:v>
      </x:c>
      <x:c r="B12" t="str">
        <x:v>Bosch Ltd.</x:v>
      </x:c>
      <x:c r="C12" t="str">
        <x:v>Automobile and Auto Components</x:v>
      </x:c>
      <x:c r="D12" s="5" t="n">
        <x:v>42.716106</x:v>
      </x:c>
      <x:c r="E12" s="6" t="n">
        <x:v>0.25839548314446237</x:v>
      </x:c>
      <x:c r="F12" s="7" t="n">
        <x:v>118559.5785216</x:v>
      </x:c>
      <x:c r="G12" t="str">
        <x:v>P/E above 30</x:v>
      </x:c>
      <x:c r="H12"/>
      <x:c r="I12"/>
      <x:c r="J12" t="str">
        <x:v>https://finance.yahoo.com/quote/BOSCHLTD.NS</x:v>
      </x:c>
    </x:row>
    <x:row r="13">
      <x:c r="A13" t="str">
        <x:v>ADANIENT</x:v>
      </x:c>
      <x:c r="B13" t="str">
        <x:v>Adani Enterprises Ltd.</x:v>
      </x:c>
      <x:c r="C13" t="str">
        <x:v>Metals &amp; Mining</x:v>
      </x:c>
      <x:c r="D13" s="5" t="n">
        <x:v>41.28822</x:v>
      </x:c>
      <x:c r="E13" s="6" t="n">
        <x:v>0.25578710816079386</x:v>
      </x:c>
      <x:c r="F13" s="7" t="n">
        <x:v>416864.6918144</x:v>
      </x:c>
      <x:c r="G13" t="str">
        <x:v>P/E above 30</x:v>
      </x:c>
      <x:c r="H13"/>
      <x:c r="I13"/>
      <x:c r="J13" t="str">
        <x:v>https://finance.yahoo.com/quote/ADANIENT.NS</x:v>
      </x:c>
    </x:row>
    <x:row r="14">
      <x:c r="A14" t="str">
        <x:v>TORNTPHARM</x:v>
      </x:c>
      <x:c r="B14" t="str">
        <x:v>Torrent Pharmaceuticals Ltd.</x:v>
      </x:c>
      <x:c r="C14" t="str">
        <x:v>Healthcare</x:v>
      </x:c>
      <x:c r="D14" s="5" t="n">
        <x:v>69.35651</x:v>
      </x:c>
      <x:c r="E14" s="6" t="n">
        <x:v>0.41514809620454485</x:v>
      </x:c>
      <x:c r="F14" s="7" t="n">
        <x:v>149924.5576192</x:v>
      </x:c>
      <x:c r="G14" t="str">
        <x:v>P/E above 30</x:v>
      </x:c>
      <x:c r="H14"/>
      <x:c r="I14"/>
      <x:c r="J14" t="str">
        <x:v>https://finance.yahoo.com/quote/TORNTPHARM.NS</x:v>
      </x:c>
    </x:row>
    <x:row r="15">
      <x:c r="A15" t="str">
        <x:v>ADANIENSOL</x:v>
      </x:c>
      <x:c r="B15" t="str">
        <x:v>Adani Energy Solutions Ltd.</x:v>
      </x:c>
      <x:c r="C15" t="str">
        <x:v>Power</x:v>
      </x:c>
      <x:c r="D15" s="5" t="n">
        <x:v>80.8691</x:v>
      </x:c>
      <x:c r="E15" s="6" t="n">
        <x:v>0.8302574904056377</x:v>
      </x:c>
      <x:c r="F15" s="7" t="n">
        <x:v>181081.3550592</x:v>
      </x:c>
      <x:c r="G15" t="str">
        <x:v>P/E above 30</x:v>
      </x:c>
      <x:c r="H15"/>
      <x:c r="I15"/>
      <x:c r="J15" t="str">
        <x:v>https://finance.yahoo.com/quote/ADANIENSOL.NS</x:v>
      </x:c>
    </x:row>
    <x:row r="16">
      <x:c r="A16" t="str">
        <x:v>LT</x:v>
      </x:c>
      <x:c r="B16" t="str">
        <x:v>Larsen &amp; Toubro Ltd.</x:v>
      </x:c>
      <x:c r="C16" t="str">
        <x:v>Construction</x:v>
      </x:c>
      <x:c r="D16" s="5" t="n">
        <x:v>36.039383</x:v>
      </x:c>
      <x:c r="E16" s="6" t="n">
        <x:v>0.1738185599975164</x:v>
      </x:c>
      <x:c r="F16" s="7" t="n">
        <x:v>579073.7891328</x:v>
      </x:c>
      <x:c r="G16" t="str">
        <x:v>P/E above 30</x:v>
      </x:c>
      <x:c r="H16"/>
      <x:c r="I16"/>
      <x:c r="J16" t="str">
        <x:v>https://finance.yahoo.com/quote/LT.NS</x:v>
      </x:c>
    </x:row>
    <x:row r="17">
      <x:c r="A17" t="str">
        <x:v>CHOLAFIN</x:v>
      </x:c>
      <x:c r="B17" t="str">
        <x:v>Cholamandalam Investment and Finance Company Ltd.</x:v>
      </x:c>
      <x:c r="C17" t="str">
        <x:v>Financial Services</x:v>
      </x:c>
      <x:c r="D17" s="5" t="n">
        <x:v>27.383572</x:v>
      </x:c>
      <x:c r="E17" s="6" t="n">
        <x:v>0.09779146783588577</x:v>
      </x:c>
      <x:c r="F17" s="7" t="n">
        <x:v>144360.40704</x:v>
      </x:c>
      <x:c r="G17" t="str">
        <x:v>1Y return below 10%</x:v>
      </x:c>
      <x:c r="H17"/>
      <x:c r="I17"/>
      <x:c r="J17" t="str">
        <x:v>https://finance.yahoo.com/quote/CHOLAFIN.NS</x:v>
      </x:c>
    </x:row>
    <x:row r="18">
      <x:c r="A18" t="str">
        <x:v>GAIL</x:v>
      </x:c>
      <x:c r="B18" t="str">
        <x:v>GAIL (India) Ltd.</x:v>
      </x:c>
      <x:c r="C18" t="str">
        <x:v>Oil Gas &amp; Consumable Fuels</x:v>
      </x:c>
      <x:c r="D18" s="5" t="n">
        <x:v>15.082394</x:v>
      </x:c>
      <x:c r="E18" s="6" t="n">
        <x:v>-0.0003066611252463547</x:v>
      </x:c>
      <x:c r="F18" s="7" t="n">
        <x:v>114340.6329856</x:v>
      </x:c>
      <x:c r="G18" t="str">
        <x:v>1Y return below 10%</x:v>
      </x:c>
      <x:c r="H18"/>
      <x:c r="I18"/>
      <x:c r="J18" t="str">
        <x:v>https://finance.yahoo.com/quote/GAIL.NS</x:v>
      </x:c>
    </x:row>
    <x:row r="19">
      <x:c r="A19" t="str">
        <x:v>ADANIGREEN</x:v>
      </x:c>
      <x:c r="B19" t="str">
        <x:v>Adani Green Energy Ltd.</x:v>
      </x:c>
      <x:c r="C19" t="str">
        <x:v>Power</x:v>
      </x:c>
      <x:c r="D19" s="5" t="n">
        <x:v>155.85062</x:v>
      </x:c>
      <x:c r="E19" s="6" t="n">
        <x:v>0.6085653366317585</x:v>
      </x:c>
      <x:c r="F19" s="7" t="n">
        <x:v>247471.7478912</x:v>
      </x:c>
      <x:c r="G19" t="str">
        <x:v>P/E above 30</x:v>
      </x:c>
      <x:c r="H19"/>
      <x:c r="I19"/>
      <x:c r="J19" t="str">
        <x:v>https://finance.yahoo.com/quote/ADANIGREEN.NS</x:v>
      </x:c>
    </x:row>
    <x:row r="20">
      <x:c r="A20" t="str">
        <x:v>TVSMOTOR</x:v>
      </x:c>
      <x:c r="B20" t="str">
        <x:v>TVS Motor Company Ltd.</x:v>
      </x:c>
      <x:c r="C20" t="str">
        <x:v>Automobile and Auto Components</x:v>
      </x:c>
      <x:c r="D20" s="5" t="n">
        <x:v>54.167713</x:v>
      </x:c>
      <x:c r="E20" s="6" t="n">
        <x:v>0.24282666229539407</x:v>
      </x:c>
      <x:c r="F20" s="7" t="n">
        <x:v>163615.6440576</x:v>
      </x:c>
      <x:c r="G20" t="str">
        <x:v>P/E above 30</x:v>
      </x:c>
      <x:c r="H20"/>
      <x:c r="I20"/>
      <x:c r="J20" t="str">
        <x:v>https://finance.yahoo.com/quote/TVSMOTOR.NS</x:v>
      </x:c>
    </x:row>
    <x:row r="21">
      <x:c r="A21" t="str">
        <x:v>CGPOWER</x:v>
      </x:c>
      <x:c r="B21" t="str">
        <x:v>CG Power and Industrial Solutions Ltd.</x:v>
      </x:c>
      <x:c r="C21" t="str">
        <x:v>Capital Goods</x:v>
      </x:c>
      <x:c r="D21" s="5" t="n">
        <x:v>124.993515</x:v>
      </x:c>
      <x:c r="E21" s="6" t="n">
        <x:v>0.4486680942388479</x:v>
      </x:c>
      <x:c r="F21" s="7" t="n">
        <x:v>151780.7468544</x:v>
      </x:c>
      <x:c r="G21" t="str">
        <x:v>P/E above 30</x:v>
      </x:c>
      <x:c r="H21"/>
      <x:c r="I21"/>
      <x:c r="J21" t="str">
        <x:v>https://finance.yahoo.com/quote/CGPOWER.NS</x:v>
      </x:c>
    </x:row>
    <x:row r="22">
      <x:c r="A22" t="str">
        <x:v>GRASIM</x:v>
      </x:c>
      <x:c r="B22" t="str">
        <x:v>Grasim Industries Ltd.</x:v>
      </x:c>
      <x:c r="C22" t="str">
        <x:v>Construction Materials</x:v>
      </x:c>
      <x:c r="D22" s="5" t="n">
        <x:v>43.0436</x:v>
      </x:c>
      <x:c r="E22" s="6" t="n">
        <x:v>0.1736808255718605</x:v>
      </x:c>
      <x:c r="F22" s="7" t="n">
        <x:v>213590.5271808</x:v>
      </x:c>
      <x:c r="G22" t="str">
        <x:v>P/E above 30</x:v>
      </x:c>
      <x:c r="H22"/>
      <x:c r="I22"/>
      <x:c r="J22" t="str">
        <x:v>https://finance.yahoo.com/quote/GRASIM.NS</x:v>
      </x:c>
    </x:row>
    <x:row r="23">
      <x:c r="A23" t="str">
        <x:v>SUNPHARMA</x:v>
      </x:c>
      <x:c r="B23" t="str">
        <x:v>Sun Pharmaceutical Industries Ltd.</x:v>
      </x:c>
      <x:c r="C23" t="str">
        <x:v>Healthcare</x:v>
      </x:c>
      <x:c r="D23" s="5" t="n">
        <x:v>38.522633</x:v>
      </x:c>
      <x:c r="E23" s="6" t="n">
        <x:v>0.12668854351751846</x:v>
      </x:c>
      <x:c r="F23" s="7" t="n">
        <x:v>441069.7580544</x:v>
      </x:c>
      <x:c r="G23" t="str">
        <x:v>P/E above 30</x:v>
      </x:c>
      <x:c r="H23"/>
      <x:c r="I23"/>
      <x:c r="J23" t="str">
        <x:v>https://finance.yahoo.com/quote/SUNPHARMA.NS</x:v>
      </x:c>
    </x:row>
    <x:row r="24">
      <x:c r="A24" t="str">
        <x:v>MARUTI</x:v>
      </x:c>
      <x:c r="B24" t="str">
        <x:v>Maruti Suzuki India Ltd.</x:v>
      </x:c>
      <x:c r="C24" t="str">
        <x:v>Automobile and Auto Components</x:v>
      </x:c>
      <x:c r="D24" s="5" t="n">
        <x:v>28.691687</x:v>
      </x:c>
      <x:c r="E24" s="6" t="n">
        <x:v>0.05731525785263836</x:v>
      </x:c>
      <x:c r="F24" s="7" t="n">
        <x:v>421142.2265344</x:v>
      </x:c>
      <x:c r="G24" t="str">
        <x:v>1Y return below 10%</x:v>
      </x:c>
      <x:c r="H24"/>
      <x:c r="I24"/>
      <x:c r="J24" t="str">
        <x:v>https://finance.yahoo.com/quote/MARUTI.NS</x:v>
      </x:c>
    </x:row>
    <x:row r="25">
      <x:c r="A25" t="str">
        <x:v>ENRIN</x:v>
      </x:c>
      <x:c r="B25" t="str">
        <x:v>Siemens Energy India Ltd.</x:v>
      </x:c>
      <x:c r="C25" t="str">
        <x:v>Capital Goods</x:v>
      </x:c>
      <x:c r="D25" s="5" t="n">
        <x:v>104.153755</x:v>
      </x:c>
      <x:c r="E25" s="6" t="n">
        <x:v>0.40405482515001556</x:v>
      </x:c>
      <x:c r="F25" s="7" t="n">
        <x:v>136533.0362368</x:v>
      </x:c>
      <x:c r="G25" t="str">
        <x:v>P/E above 30</x:v>
      </x:c>
      <x:c r="H25"/>
      <x:c r="I25"/>
      <x:c r="J25" t="str">
        <x:v>https://finance.yahoo.com/quote/ENRIN.NS</x:v>
      </x:c>
    </x:row>
    <x:row r="26">
      <x:c r="A26" t="str">
        <x:v>HDFCAMC</x:v>
      </x:c>
      <x:c r="B26" t="str">
        <x:v>HDFC Asset Management Company Ltd.</x:v>
      </x:c>
      <x:c r="C26" t="str">
        <x:v>Financial Services</x:v>
      </x:c>
      <x:c r="D26" s="5" t="n">
        <x:v>40.90567</x:v>
      </x:c>
      <x:c r="E26" s="6" t="n">
        <x:v>0.13930101266322614</x:v>
      </x:c>
      <x:c r="F26" s="7" t="n">
        <x:v>116550.8214784</x:v>
      </x:c>
      <x:c r="G26" t="str">
        <x:v>P/E above 30</x:v>
      </x:c>
      <x:c r="H26"/>
      <x:c r="I26"/>
      <x:c r="J26" t="str">
        <x:v>https://finance.yahoo.com/quote/HDFCAMC.NS</x:v>
      </x:c>
    </x:row>
    <x:row r="27">
      <x:c r="A27" t="str">
        <x:v>BAJFINANCE</x:v>
      </x:c>
      <x:c r="B27" t="str">
        <x:v>Bajaj Finance Ltd.</x:v>
      </x:c>
      <x:c r="C27" t="str">
        <x:v>Financial Services</x:v>
      </x:c>
      <x:c r="D27" s="5" t="n">
        <x:v>31.513762</x:v>
      </x:c>
      <x:c r="E27" s="6" t="n">
        <x:v>0.06807327905937677</x:v>
      </x:c>
      <x:c r="F27" s="7" t="n">
        <x:v>598035.3462272</x:v>
      </x:c>
      <x:c r="G27" t="str">
        <x:v>P/E above 30; 1Y return below 10%</x:v>
      </x:c>
      <x:c r="H27"/>
      <x:c r="I27"/>
      <x:c r="J27" t="str">
        <x:v>https://finance.yahoo.com/quote/BAJFINANCE.NS</x:v>
      </x:c>
    </x:row>
    <x:row r="28">
      <x:c r="A28" t="str">
        <x:v>M&amp;M</x:v>
      </x:c>
      <x:c r="B28" t="str">
        <x:v>Mahindra &amp; Mahindra Ltd.</x:v>
      </x:c>
      <x:c r="C28" t="str">
        <x:v>Automobile and Auto Components</x:v>
      </x:c>
      <x:c r="D28" s="5" t="n">
        <x:v>20.203693</x:v>
      </x:c>
      <x:c r="E28" s="6" t="n">
        <x:v>0.0015197288010515564</x:v>
      </x:c>
      <x:c r="F28" s="7" t="n">
        <x:v>369210.3729152</x:v>
      </x:c>
      <x:c r="G28" t="str">
        <x:v>1Y return below 10%</x:v>
      </x:c>
      <x:c r="H28"/>
      <x:c r="I28"/>
      <x:c r="J28" t="str">
        <x:v>https://finance.yahoo.com/quote/M&amp;M.NS</x:v>
      </x:c>
    </x:row>
    <x:row r="29">
      <x:c r="A29" t="str">
        <x:v>TITAN</x:v>
      </x:c>
      <x:c r="B29" t="str">
        <x:v>Titan Company Ltd.</x:v>
      </x:c>
      <x:c r="C29" t="str">
        <x:v>Consumer Durables</x:v>
      </x:c>
      <x:c r="D29" s="5" t="n">
        <x:v>77.19001</x:v>
      </x:c>
      <x:c r="E29" s="6" t="n">
        <x:v>0.2646778349228158</x:v>
      </x:c>
      <x:c r="F29" s="7" t="n">
        <x:v>392065.1091968</x:v>
      </x:c>
      <x:c r="G29" t="str">
        <x:v>P/E above 30</x:v>
      </x:c>
      <x:c r="H29"/>
      <x:c r="I29"/>
      <x:c r="J29" t="str">
        <x:v>https://finance.yahoo.com/quote/TITAN.NS</x:v>
      </x:c>
    </x:row>
    <x:row r="30">
      <x:c r="A30" t="str">
        <x:v>ICICIBANK</x:v>
      </x:c>
      <x:c r="B30" t="str">
        <x:v>ICICI Bank Ltd.</x:v>
      </x:c>
      <x:c r="C30" t="str">
        <x:v>Financial Services</x:v>
      </x:c>
      <x:c r="D30" s="5" t="n">
        <x:v>18.02061</x:v>
      </x:c>
      <x:c r="E30" s="6" t="n">
        <x:v>-0.03855338409958475</x:v>
      </x:c>
      <x:c r="F30" s="7" t="n">
        <x:v>965675.4765824</x:v>
      </x:c>
      <x:c r="G30" t="str">
        <x:v>1Y return below 10%</x:v>
      </x:c>
      <x:c r="H30"/>
      <x:c r="I30"/>
      <x:c r="J30" t="str">
        <x:v>https://finance.yahoo.com/quote/ICICIBANK.NS</x:v>
      </x:c>
    </x:row>
    <x:row r="31">
      <x:c r="A31" t="str">
        <x:v>APOLLOHOSP</x:v>
      </x:c>
      <x:c r="B31" t="str">
        <x:v>Apollo Hospitals Enterprise Ltd.</x:v>
      </x:c>
      <x:c r="C31" t="str">
        <x:v>Healthcare</x:v>
      </x:c>
      <x:c r="D31" s="5" t="n">
        <x:v>62.843292</x:v>
      </x:c>
      <x:c r="E31" s="6" t="n">
        <x:v>0.21430223683372418</x:v>
      </x:c>
      <x:c r="F31" s="7" t="n">
        <x:v>122065.977344</x:v>
      </x:c>
      <x:c r="G31" t="str">
        <x:v>P/E above 30</x:v>
      </x:c>
      <x:c r="H31"/>
      <x:c r="I31"/>
      <x:c r="J31" t="str">
        <x:v>https://finance.yahoo.com/quote/APOLLOHOSP.NS</x:v>
      </x:c>
    </x:row>
    <x:row r="32">
      <x:c r="A32" t="str">
        <x:v>ASIANPAINT</x:v>
      </x:c>
      <x:c r="B32" t="str">
        <x:v>Asian Paints Ltd.</x:v>
      </x:c>
      <x:c r="C32" t="str">
        <x:v>Consumer Durables</x:v>
      </x:c>
      <x:c r="D32" s="5" t="n">
        <x:v>60.636784</x:v>
      </x:c>
      <x:c r="E32" s="6" t="n">
        <x:v>0.20686295100122343</x:v>
      </x:c>
      <x:c r="F32" s="7" t="n">
        <x:v>261987.893248</x:v>
      </x:c>
      <x:c r="G32" t="str">
        <x:v>P/E above 30</x:v>
      </x:c>
      <x:c r="H32"/>
      <x:c r="I32"/>
      <x:c r="J32" t="str">
        <x:v>https://finance.yahoo.com/quote/ASIANPAINT.NS</x:v>
      </x:c>
    </x:row>
    <x:row r="33">
      <x:c r="A33" t="str">
        <x:v>HYUNDAI</x:v>
      </x:c>
      <x:c r="B33" t="str">
        <x:v>Hyundai Motor India Ltd.</x:v>
      </x:c>
      <x:c r="C33" t="str">
        <x:v>Automobile and Auto Components</x:v>
      </x:c>
      <x:c r="D33" s="5" t="n">
        <x:v>29.477142</x:v>
      </x:c>
      <x:c r="E33" s="6" t="n">
        <x:v>0.04418832561249553</x:v>
      </x:c>
      <x:c r="F33" s="7" t="n">
        <x:v>160330.612736</x:v>
      </x:c>
      <x:c r="G33" t="str">
        <x:v>1Y return below 10%</x:v>
      </x:c>
      <x:c r="H33"/>
      <x:c r="I33"/>
      <x:c r="J33" t="str">
        <x:v>https://finance.yahoo.com/quote/HYUNDAI.NS</x:v>
      </x:c>
    </x:row>
    <x:row r="34">
      <x:c r="A34" t="str">
        <x:v>VBL</x:v>
      </x:c>
      <x:c r="B34" t="str">
        <x:v>Varun Beverages Ltd.</x:v>
      </x:c>
      <x:c r="C34" t="str">
        <x:v>Fast Moving Consumer Goods</x:v>
      </x:c>
      <x:c r="D34" s="5" t="n">
        <x:v>56.269928</x:v>
      </x:c>
      <x:c r="E34" s="6" t="n">
        <x:v>0.1839445986736501</x:v>
      </x:c>
      <x:c r="F34" s="7" t="n">
        <x:v>179092.5733888</x:v>
      </x:c>
      <x:c r="G34" t="str">
        <x:v>P/E above 30</x:v>
      </x:c>
      <x:c r="H34"/>
      <x:c r="I34"/>
      <x:c r="J34" t="str">
        <x:v>https://finance.yahoo.com/quote/VBL.NS</x:v>
      </x:c>
    </x:row>
    <x:row r="35">
      <x:c r="A35" t="str">
        <x:v>TATAPOWER</x:v>
      </x:c>
      <x:c r="B35" t="str">
        <x:v>Tata Power Co. Ltd.</x:v>
      </x:c>
      <x:c r="C35" t="str">
        <x:v>Power</x:v>
      </x:c>
      <x:c r="D35" s="5" t="n">
        <x:v>34.359524</x:v>
      </x:c>
      <x:c r="E35" s="6" t="n">
        <x:v>0.052445772824363246</x:v>
      </x:c>
      <x:c r="F35" s="7" t="n">
        <x:v>128564.4877824</x:v>
      </x:c>
      <x:c r="G35" t="str">
        <x:v>P/E above 30; 1Y return below 10%</x:v>
      </x:c>
      <x:c r="H35"/>
      <x:c r="I35"/>
      <x:c r="J35" t="str">
        <x:v>https://finance.yahoo.com/quote/TATAPOWER.NS</x:v>
      </x:c>
    </x:row>
    <x:row r="36">
      <x:c r="A36" t="str">
        <x:v>BAJAJHLDNG</x:v>
      </x:c>
      <x:c r="B36" t="str">
        <x:v>Bajaj Holdings &amp; Investment Ltd.</x:v>
      </x:c>
      <x:c r="C36" t="str">
        <x:v>Financial Services</x:v>
      </x:c>
      <x:c r="D36" s="5" t="n">
        <x:v>12.323123</x:v>
      </x:c>
      <x:c r="E36" s="6" t="n">
        <x:v>-0.20152117246430112</x:v>
      </x:c>
      <x:c r="F36" s="7" t="n">
        <x:v>118828.0795136</x:v>
      </x:c>
      <x:c r="G36" t="str">
        <x:v>1Y return below 10%</x:v>
      </x:c>
      <x:c r="H36"/>
      <x:c r="I36"/>
      <x:c r="J36" t="str">
        <x:v>https://finance.yahoo.com/quote/BAJAJHLDNG.NS</x:v>
      </x:c>
    </x:row>
    <x:row r="37">
      <x:c r="A37" t="str">
        <x:v>NESTLEIND</x:v>
      </x:c>
      <x:c r="B37" t="str">
        <x:v>Nestle India Ltd.</x:v>
      </x:c>
      <x:c r="C37" t="str">
        <x:v>Fast Moving Consumer Goods</x:v>
      </x:c>
      <x:c r="D37" s="5" t="n">
        <x:v>78.208954</x:v>
      </x:c>
      <x:c r="E37" s="6" t="n">
        <x:v>0.23198017613957478</x:v>
      </x:c>
      <x:c r="F37" s="7" t="n">
        <x:v>272817.9269632</x:v>
      </x:c>
      <x:c r="G37" t="str">
        <x:v>P/E above 30</x:v>
      </x:c>
      <x:c r="H37"/>
      <x:c r="I37"/>
      <x:c r="J37" t="str">
        <x:v>https://finance.yahoo.com/quote/NESTLEIND.NS</x:v>
      </x:c>
    </x:row>
    <x:row r="38">
      <x:c r="A38" t="str">
        <x:v>KOTAKBANK</x:v>
      </x:c>
      <x:c r="B38" t="str">
        <x:v>Kotak Mahindra Bank Ltd.</x:v>
      </x:c>
      <x:c r="C38" t="str">
        <x:v>Financial Services</x:v>
      </x:c>
      <x:c r="D38" s="5" t="n">
        <x:v>20.61177</x:v>
      </x:c>
      <x:c r="E38" s="6" t="n">
        <x:v>-0.06888207408048486</x:v>
      </x:c>
      <x:c r="F38" s="7" t="n">
        <x:v>397112.6132736</x:v>
      </x:c>
      <x:c r="G38" t="str">
        <x:v>1Y return below 10%</x:v>
      </x:c>
      <x:c r="H38"/>
      <x:c r="I38"/>
      <x:c r="J38" t="str">
        <x:v>https://finance.yahoo.com/quote/KOTAKBANK.NS</x:v>
      </x:c>
    </x:row>
    <x:row r="39">
      <x:c r="A39" t="str">
        <x:v>DRREDDY</x:v>
      </x:c>
      <x:c r="B39" t="str">
        <x:v>Dr. Reddy's Laboratories Ltd.</x:v>
      </x:c>
      <x:c r="C39" t="str">
        <x:v>Healthcare</x:v>
      </x:c>
      <x:c r="D39" s="5" t="n">
        <x:v>24.720171</x:v>
      </x:c>
      <x:c r="E39" s="6" t="n">
        <x:v>-0.03463703576895416</x:v>
      </x:c>
      <x:c r="F39" s="7" t="n">
        <x:v>105928.2092032</x:v>
      </x:c>
      <x:c r="G39" t="str">
        <x:v>1Y return below 10%</x:v>
      </x:c>
      <x:c r="H39"/>
      <x:c r="I39"/>
      <x:c r="J39" t="str">
        <x:v>https://finance.yahoo.com/quote/DRREDDY.NS</x:v>
      </x:c>
    </x:row>
    <x:row r="40">
      <x:c r="A40" t="str">
        <x:v>ABB</x:v>
      </x:c>
      <x:c r="B40" t="str">
        <x:v>ABB India Ltd.</x:v>
      </x:c>
      <x:c r="C40" t="str">
        <x:v>Capital Goods</x:v>
      </x:c>
      <x:c r="D40" s="5" t="n">
        <x:v>99.26048</x:v>
      </x:c>
      <x:c r="E40" s="6" t="n">
        <x:v>0.24238571404538511</x:v>
      </x:c>
      <x:c r="F40" s="7" t="n">
        <x:v>153591.1788544</x:v>
      </x:c>
      <x:c r="G40" t="str">
        <x:v>P/E above 30</x:v>
      </x:c>
      <x:c r="H40"/>
      <x:c r="I40"/>
      <x:c r="J40" t="str">
        <x:v>https://finance.yahoo.com/quote/ABB.NS</x:v>
      </x:c>
    </x:row>
    <x:row r="41">
      <x:c r="A41" t="str">
        <x:v>BEL</x:v>
      </x:c>
      <x:c r="B41" t="str">
        <x:v>Bharat Electronics Ltd.</x:v>
      </x:c>
      <x:c r="C41" t="str">
        <x:v>Capital Goods</x:v>
      </x:c>
      <x:c r="D41" s="5" t="n">
        <x:v>51.62031</x:v>
      </x:c>
      <x:c r="E41" s="6" t="n">
        <x:v>0.07818840817081552</x:v>
      </x:c>
      <x:c r="F41" s="7" t="n">
        <x:v>312054.4612352</x:v>
      </x:c>
      <x:c r="G41" t="str">
        <x:v>P/E above 30; 1Y return below 10%</x:v>
      </x:c>
      <x:c r="H41"/>
      <x:c r="I41"/>
      <x:c r="J41" t="str">
        <x:v>https://finance.yahoo.com/quote/BEL.NS</x:v>
      </x:c>
    </x:row>
    <x:row r="42">
      <x:c r="A42" t="str">
        <x:v>RELIANCE</x:v>
      </x:c>
      <x:c r="B42" t="str">
        <x:v>Reliance Industries Ltd.</x:v>
      </x:c>
      <x:c r="C42" t="str">
        <x:v>Oil Gas &amp; Consumable Fuels</x:v>
      </x:c>
      <x:c r="D42" s="5" t="n">
        <x:v>21.949379</x:v>
      </x:c>
      <x:c r="E42" s="6" t="n">
        <x:v>-0.07848415561362398</x:v>
      </x:c>
      <x:c r="F42" s="7" t="n">
        <x:v>1772077.2919296</x:v>
      </x:c>
      <x:c r="G42" t="str">
        <x:v>1Y return below 10%</x:v>
      </x:c>
      <x:c r="H42"/>
      <x:c r="I42"/>
      <x:c r="J42" t="str">
        <x:v>https://finance.yahoo.com/quote/RELIANCE.NS</x:v>
      </x:c>
    </x:row>
    <x:row r="43">
      <x:c r="A43" t="str">
        <x:v>HDFCBANK</x:v>
      </x:c>
      <x:c r="B43" t="str">
        <x:v>HDFC Bank Ltd.</x:v>
      </x:c>
      <x:c r="C43" t="str">
        <x:v>Financial Services</x:v>
      </x:c>
      <x:c r="D43" s="5" t="n">
        <x:v>17.398483</x:v>
      </x:c>
      <x:c r="E43" s="6" t="n">
        <x:v>-0.16972842980735214</x:v>
      </x:c>
      <x:c r="F43" s="7" t="n">
        <x:v>1200700.260352</x:v>
      </x:c>
      <x:c r="G43" t="str">
        <x:v>1Y return below 10%</x:v>
      </x:c>
      <x:c r="H43"/>
      <x:c r="I43"/>
      <x:c r="J43" t="str">
        <x:v>https://finance.yahoo.com/quote/HDFCBANK.NS</x:v>
      </x:c>
    </x:row>
    <x:row r="44">
      <x:c r="A44" t="str">
        <x:v>WIPRO</x:v>
      </x:c>
      <x:c r="B44" t="str">
        <x:v>Wipro Ltd.</x:v>
      </x:c>
      <x:c r="C44" t="str">
        <x:v>Information Technology</x:v>
      </x:c>
      <x:c r="D44" s="5" t="n">
        <x:v>14.383453</x:v>
      </x:c>
      <x:c r="E44" s="6" t="n">
        <x:v>-0.2879136460808086</x:v>
      </x:c>
      <x:c r="F44" s="7" t="n">
        <x:v>189679.2195072</x:v>
      </x:c>
      <x:c r="G44" t="str">
        <x:v>1Y return below 10%</x:v>
      </x:c>
      <x:c r="H44"/>
      <x:c r="I44"/>
      <x:c r="J44" t="str">
        <x:v>https://finance.yahoo.com/quote/WIPRO.NS</x:v>
      </x:c>
    </x:row>
    <x:row r="45">
      <x:c r="A45" t="str">
        <x:v>INFY</x:v>
      </x:c>
      <x:c r="B45" t="str">
        <x:v>Infosys Ltd.</x:v>
      </x:c>
      <x:c r="C45" t="str">
        <x:v>Information Technology</x:v>
      </x:c>
      <x:c r="D45" s="5" t="n">
        <x:v>13.825115</x:v>
      </x:c>
      <x:c r="E45" s="6" t="n">
        <x:v>-0.32612723739338745</x:v>
      </x:c>
      <x:c r="F45" s="7" t="n">
        <x:v>425670.344704</x:v>
      </x:c>
      <x:c r="G45" t="str">
        <x:v>1Y return below 10%</x:v>
      </x:c>
      <x:c r="H45"/>
      <x:c r="I45"/>
      <x:c r="J45" t="str">
        <x:v>https://finance.yahoo.com/quote/INFY.NS</x:v>
      </x:c>
    </x:row>
    <x:row r="46">
      <x:c r="A46" t="str">
        <x:v>SIEMENS</x:v>
      </x:c>
      <x:c r="B46" t="str">
        <x:v>Siemens Ltd.</x:v>
      </x:c>
      <x:c r="C46" t="str">
        <x:v>Capital Goods</x:v>
      </x:c>
      <x:c r="D46" s="5" t="n">
        <x:v>79.51777</x:v>
      </x:c>
      <x:c r="E46" s="6" t="n">
        <x:v>0.14454458163976014</x:v>
      </x:c>
      <x:c r="F46" s="7" t="n">
        <x:v>133887.0726656</x:v>
      </x:c>
      <x:c r="G46" t="str">
        <x:v>P/E above 30</x:v>
      </x:c>
      <x:c r="H46"/>
      <x:c r="I46"/>
      <x:c r="J46" t="str">
        <x:v>https://finance.yahoo.com/quote/SIEMENS.NS</x:v>
      </x:c>
    </x:row>
    <x:row r="47">
      <x:c r="A47" t="str">
        <x:v>VEDL</x:v>
      </x:c>
      <x:c r="B47" t="str">
        <x:v>Vedanta Ltd.</x:v>
      </x:c>
      <x:c r="C47" t="str">
        <x:v>Metals &amp; Mining</x:v>
      </x:c>
      <x:c r="D47" s="5" t="n">
        <x:v>16.767</x:v>
      </x:c>
      <x:c r="E47" s="6" t="n">
        <x:v>-0.26711584253935683</x:v>
      </x:c>
      <x:c r="F47" s="7" t="n">
        <x:v>117456.437248</x:v>
      </x:c>
      <x:c r="G47" t="str">
        <x:v>1Y return below 10%</x:v>
      </x:c>
      <x:c r="H47"/>
      <x:c r="I47"/>
      <x:c r="J47" t="str">
        <x:v>https://finance.yahoo.com/quote/VEDL.NS</x:v>
      </x:c>
    </x:row>
    <x:row r="48">
      <x:c r="A48" t="str">
        <x:v>CIPLA</x:v>
      </x:c>
      <x:c r="B48" t="str">
        <x:v>Cipla Ltd.</x:v>
      </x:c>
      <x:c r="C48" t="str">
        <x:v>Healthcare</x:v>
      </x:c>
      <x:c r="D48" s="5" t="n">
        <x:v>28.12734</x:v>
      </x:c>
      <x:c r="E48" s="6" t="n">
        <x:v>-0.07071566068251289</x:v>
      </x:c>
      <x:c r="F48" s="7" t="n">
        <x:v>109204.5307904</x:v>
      </x:c>
      <x:c r="G48" t="str">
        <x:v>1Y return below 10%</x:v>
      </x:c>
      <x:c r="H48"/>
      <x:c r="I48"/>
      <x:c r="J48" t="str">
        <x:v>https://finance.yahoo.com/quote/CIPLA.NS</x:v>
      </x:c>
    </x:row>
    <x:row r="49">
      <x:c r="A49" t="str">
        <x:v>PIDILITIND</x:v>
      </x:c>
      <x:c r="B49" t="str">
        <x:v>Pidilite Industries Ltd.</x:v>
      </x:c>
      <x:c r="C49" t="str">
        <x:v>Chemicals</x:v>
      </x:c>
      <x:c r="D49" s="5" t="n">
        <x:v>65.719635</x:v>
      </x:c>
      <x:c r="E49" s="6" t="n">
        <x:v>0.07218168503266442</x:v>
      </x:c>
      <x:c r="F49" s="7" t="n">
        <x:v>160798.3300608</x:v>
      </x:c>
      <x:c r="G49" t="str">
        <x:v>P/E above 30; 1Y return below 10%</x:v>
      </x:c>
      <x:c r="H49"/>
      <x:c r="I49"/>
      <x:c r="J49" t="str">
        <x:v>https://finance.yahoo.com/quote/PIDILITIND.NS</x:v>
      </x:c>
    </x:row>
    <x:row r="50">
      <x:c r="A50" t="str">
        <x:v>ITC</x:v>
      </x:c>
      <x:c r="B50" t="str">
        <x:v>ITC Ltd.</x:v>
      </x:c>
      <x:c r="C50" t="str">
        <x:v>Fast Moving Consumer Goods</x:v>
      </x:c>
      <x:c r="D50" s="5" t="n">
        <x:v>17.716536</x:v>
      </x:c>
      <x:c r="E50" s="6" t="n">
        <x:v>-0.26258227305838355</x:v>
      </x:c>
      <x:c r="F50" s="7" t="n">
        <x:v>366486.9588992</x:v>
      </x:c>
      <x:c r="G50" t="str">
        <x:v>1Y return below 10%</x:v>
      </x:c>
      <x:c r="H50"/>
      <x:c r="I50"/>
      <x:c r="J50" t="str">
        <x:v>https://finance.yahoo.com/quote/ITC.NS</x:v>
      </x:c>
    </x:row>
    <x:row r="51">
      <x:c r="A51" t="str">
        <x:v>ULTRACEMCO</x:v>
      </x:c>
      <x:c r="B51" t="str">
        <x:v>UltraTech Cement Ltd.</x:v>
      </x:c>
      <x:c r="C51" t="str">
        <x:v>Construction Materials</x:v>
      </x:c>
      <x:c r="D51" s="5" t="n">
        <x:v>40.897316</x:v>
      </x:c>
      <x:c r="E51" s="6" t="n">
        <x:v>0.0016682698786669725</x:v>
      </x:c>
      <x:c r="F51" s="7" t="n">
        <x:v>334382.628864</x:v>
      </x:c>
      <x:c r="G51" t="str">
        <x:v>P/E above 30; 1Y return below 10%</x:v>
      </x:c>
      <x:c r="H51"/>
      <x:c r="I51"/>
      <x:c r="J51" t="str">
        <x:v>https://finance.yahoo.com/quote/ULTRACEMCO.NS</x:v>
      </x:c>
    </x:row>
    <x:row r="52">
      <x:c r="A52" t="str">
        <x:v>IRFC</x:v>
      </x:c>
      <x:c r="B52" t="str">
        <x:v>Indian Railway Finance Corporation Ltd.</x:v>
      </x:c>
      <x:c r="C52" t="str">
        <x:v>Financial Services</x:v>
      </x:c>
      <x:c r="D52" s="5" t="n">
        <x:v>18.565298</x:v>
      </x:c>
      <x:c r="E52" s="6" t="n">
        <x:v>-0.23371393710343902</x:v>
      </x:c>
      <x:c r="F52" s="7" t="n">
        <x:v>130044.7100928</x:v>
      </x:c>
      <x:c r="G52" t="str">
        <x:v>1Y return below 10%</x:v>
      </x:c>
      <x:c r="H52"/>
      <x:c r="I52"/>
      <x:c r="J52" t="str">
        <x:v>https://finance.yahoo.com/quote/IRFC.NS</x:v>
      </x:c>
    </x:row>
    <x:row r="53">
      <x:c r="A53" t="str">
        <x:v>TECHM</x:v>
      </x:c>
      <x:c r="B53" t="str">
        <x:v>Tech Mahindra Ltd.</x:v>
      </x:c>
      <x:c r="C53" t="str">
        <x:v>Information Technology</x:v>
      </x:c>
      <x:c r="D53" s="5" t="n">
        <x:v>25.98341</x:v>
      </x:c>
      <x:c r="E53" s="6" t="n">
        <x:v>-0.13872660090053213</x:v>
      </x:c>
      <x:c r="F53" s="7" t="n">
        <x:v>124865.5179776</x:v>
      </x:c>
      <x:c r="G53" t="str">
        <x:v>1Y return below 10%</x:v>
      </x:c>
      <x:c r="H53"/>
      <x:c r="I53"/>
      <x:c r="J53" t="str">
        <x:v>https://finance.yahoo.com/quote/TECHM.NS</x:v>
      </x:c>
    </x:row>
    <x:row r="54">
      <x:c r="A54" t="str">
        <x:v>BHARTIARTL</x:v>
      </x:c>
      <x:c r="B54" t="str">
        <x:v>Bharti Airtel Ltd.</x:v>
      </x:c>
      <x:c r="C54" t="str">
        <x:v>Telecommunication</x:v>
      </x:c>
      <x:c r="D54" s="5" t="n">
        <x:v>43.14292</x:v>
      </x:c>
      <x:c r="E54" s="6" t="n">
        <x:v>0.026517904072456355</x:v>
      </x:c>
      <x:c r="F54" s="7" t="n">
        <x:v>1163958.4718848</x:v>
      </x:c>
      <x:c r="G54" t="str">
        <x:v>P/E above 30; 1Y return below 10%</x:v>
      </x:c>
      <x:c r="H54"/>
      <x:c r="I54"/>
      <x:c r="J54" t="str">
        <x:v>https://finance.yahoo.com/quote/BHARTIARTL.NS</x:v>
      </x:c>
    </x:row>
    <x:row r="55">
      <x:c r="A55" t="str">
        <x:v>AMBUJACEM</x:v>
      </x:c>
      <x:c r="B55" t="str">
        <x:v>Ambuja Cements Ltd.</x:v>
      </x:c>
      <x:c r="C55" t="str">
        <x:v>Construction Materials</x:v>
      </x:c>
      <x:c r="D55" s="5" t="n">
        <x:v>22.266281</x:v>
      </x:c>
      <x:c r="E55" s="6" t="n">
        <x:v>-0.20035934342405215</x:v>
      </x:c>
      <x:c r="F55" s="7" t="n">
        <x:v>105343.8246912</x:v>
      </x:c>
      <x:c r="G55" t="str">
        <x:v>1Y return below 10%</x:v>
      </x:c>
      <x:c r="H55"/>
      <x:c r="I55"/>
      <x:c r="J55" t="str">
        <x:v>https://finance.yahoo.com/quote/AMBUJACEM.NS</x:v>
      </x:c>
    </x:row>
    <x:row r="56">
      <x:c r="A56" t="str">
        <x:v>TCS</x:v>
      </x:c>
      <x:c r="B56" t="str">
        <x:v>Tata Consultancy Services Ltd.</x:v>
      </x:c>
      <x:c r="C56" t="str">
        <x:v>Information Technology</x:v>
      </x:c>
      <x:c r="D56" s="5" t="n">
        <x:v>15.611226</x:v>
      </x:c>
      <x:c r="E56" s="6" t="n">
        <x:v>-0.3549602953013111</x:v>
      </x:c>
      <x:c r="F56" s="7" t="n">
        <x:v>768843.5531776</x:v>
      </x:c>
      <x:c r="G56" t="str">
        <x:v>1Y return below 10%</x:v>
      </x:c>
      <x:c r="H56"/>
      <x:c r="I56"/>
      <x:c r="J56" t="str">
        <x:v>https://finance.yahoo.com/quote/TCS.NS</x:v>
      </x:c>
    </x:row>
    <x:row r="57">
      <x:c r="A57" t="str">
        <x:v>BAJAJFINSV</x:v>
      </x:c>
      <x:c r="B57" t="str">
        <x:v>Bajaj Finserv Ltd.</x:v>
      </x:c>
      <x:c r="C57" t="str">
        <x:v>Financial Services</x:v>
      </x:c>
      <x:c r="D57" s="5" t="n">
        <x:v>29.030354</x:v>
      </x:c>
      <x:c r="E57" s="6" t="n">
        <x:v>-0.10029371729276082</x:v>
      </x:c>
      <x:c r="F57" s="7" t="n">
        <x:v>282840.0590848</x:v>
      </x:c>
      <x:c r="G57" t="str">
        <x:v>1Y return below 10%</x:v>
      </x:c>
      <x:c r="H57"/>
      <x:c r="I57"/>
      <x:c r="J57" t="str">
        <x:v>https://finance.yahoo.com/quote/BAJAJFINSV.NS</x:v>
      </x:c>
    </x:row>
    <x:row r="58">
      <x:c r="A58" t="str">
        <x:v>HCLTECH</x:v>
      </x:c>
      <x:c r="B58" t="str">
        <x:v>HCL Technologies Ltd.</x:v>
      </x:c>
      <x:c r="C58" t="str">
        <x:v>Information Technology</x:v>
      </x:c>
      <x:c r="D58" s="5" t="n">
        <x:v>18.45865</x:v>
      </x:c>
      <x:c r="E58" s="6" t="n">
        <x:v>-0.3114128539580878</x:v>
      </x:c>
      <x:c r="F58" s="7" t="n">
        <x:v>306211.6122624</x:v>
      </x:c>
      <x:c r="G58" t="str">
        <x:v>1Y return below 10%</x:v>
      </x:c>
      <x:c r="H58"/>
      <x:c r="I58"/>
      <x:c r="J58" t="str">
        <x:v>https://finance.yahoo.com/quote/HCLTECH.NS</x:v>
      </x:c>
    </x:row>
    <x:row r="59">
      <x:c r="A59" t="str">
        <x:v>HAL</x:v>
      </x:c>
      <x:c r="B59" t="str">
        <x:v>Hindustan Aeronautics Ltd.</x:v>
      </x:c>
      <x:c r="C59" t="str">
        <x:v>Capital Goods</x:v>
      </x:c>
      <x:c r="D59" s="5" t="n">
        <x:v>32.367283</x:v>
      </x:c>
      <x:c r="E59" s="6" t="n">
        <x:v>-0.09028506948377202</x:v>
      </x:c>
      <x:c r="F59" s="7" t="n">
        <x:v>294802.7121664</x:v>
      </x:c>
      <x:c r="G59" t="str">
        <x:v>P/E above 30; 1Y return below 10%</x:v>
      </x:c>
      <x:c r="H59"/>
      <x:c r="I59"/>
      <x:c r="J59" t="str">
        <x:v>https://finance.yahoo.com/quote/HAL.NS</x:v>
      </x:c>
    </x:row>
    <x:row r="60">
      <x:c r="A60" t="str">
        <x:v>HINDUNILVR</x:v>
      </x:c>
      <x:c r="B60" t="str">
        <x:v>Hindustan Unilever Ltd.</x:v>
      </x:c>
      <x:c r="C60" t="str">
        <x:v>Fast Moving Consumer Goods</x:v>
      </x:c>
      <x:c r="D60" s="5" t="n">
        <x:v>48.424538</x:v>
      </x:c>
      <x:c r="E60" s="6" t="n">
        <x:v>-0.025755309119092074</x:v>
      </x:c>
      <x:c r="F60" s="7" t="n">
        <x:v>515641.3374464</x:v>
      </x:c>
      <x:c r="G60" t="str">
        <x:v>P/E above 30; 1Y return below 10%</x:v>
      </x:c>
      <x:c r="H60"/>
      <x:c r="I60"/>
      <x:c r="J60" t="str">
        <x:v>https://finance.yahoo.com/quote/HINDUNILVR.NS</x:v>
      </x:c>
    </x:row>
    <x:row r="61">
      <x:c r="A61" t="str">
        <x:v>DIVISLAB</x:v>
      </x:c>
      <x:c r="B61" t="str">
        <x:v>Divi's Laboratories Ltd.</x:v>
      </x:c>
      <x:c r="C61" t="str">
        <x:v>Healthcare</x:v>
      </x:c>
      <x:c r="D61" s="5" t="n">
        <x:v>69.75998</x:v>
      </x:c>
      <x:c r="E61" s="6" t="n">
        <x:v>0.04323171284004723</x:v>
      </x:c>
      <x:c r="F61" s="7" t="n">
        <x:v>179005.4629376</x:v>
      </x:c>
      <x:c r="G61" t="str">
        <x:v>P/E above 30; 1Y return below 10%</x:v>
      </x:c>
      <x:c r="H61"/>
      <x:c r="I61"/>
      <x:c r="J61" t="str">
        <x:v>https://finance.yahoo.com/quote/DIVISLAB.NS</x:v>
      </x:c>
    </x:row>
    <x:row r="62">
      <x:c r="A62" t="str">
        <x:v>LTM</x:v>
      </x:c>
      <x:c r="B62" t="str">
        <x:v>LTM Ltd.</x:v>
      </x:c>
      <x:c r="C62" t="str">
        <x:v>Information Technology</x:v>
      </x:c>
      <x:c r="D62" s="5" t="n">
        <x:v>22.666784</x:v>
      </x:c>
      <x:c r="E62" s="6" t="n">
        <x:v>-0.2736340590644296</x:v>
      </x:c>
      <x:c r="F62" s="7" t="n">
        <x:v>113618.7670528</x:v>
      </x:c>
      <x:c r="G62" t="str">
        <x:v>1Y return below 10%</x:v>
      </x:c>
      <x:c r="H62"/>
      <x:c r="I62"/>
      <x:c r="J62" t="str">
        <x:v>https://finance.yahoo.com/quote/LTM.NS</x:v>
      </x:c>
    </x:row>
    <x:row r="63">
      <x:c r="A63" t="str">
        <x:v>SOLARINDS</x:v>
      </x:c>
      <x:c r="B63" t="str">
        <x:v>Solar Industries India Ltd.</x:v>
      </x:c>
      <x:c r="C63" t="str">
        <x:v>Chemicals</x:v>
      </x:c>
      <x:c r="D63" s="5" t="n">
        <x:v>97.652275</x:v>
      </x:c>
      <x:c r="E63" s="6" t="n">
        <x:v>0.06994467618068279</x:v>
      </x:c>
      <x:c r="F63" s="7" t="n">
        <x:v>163352.6480896</x:v>
      </x:c>
      <x:c r="G63" t="str">
        <x:v>P/E above 30; 1Y return below 10%</x:v>
      </x:c>
      <x:c r="H63"/>
      <x:c r="I63"/>
      <x:c r="J63" t="str">
        <x:v>https://finance.yahoo.com/quote/SOLARINDS.NS</x:v>
      </x:c>
    </x:row>
    <x:row r="64">
      <x:c r="A64" t="str">
        <x:v>INDHOTEL</x:v>
      </x:c>
      <x:c r="B64" t="str">
        <x:v>Indian Hotels Co. Ltd.</x:v>
      </x:c>
      <x:c r="C64" t="str">
        <x:v>Consumer Services</x:v>
      </x:c>
      <x:c r="D64" s="5" t="n">
        <x:v>49.47099</x:v>
      </x:c>
      <x:c r="E64" s="6" t="n">
        <x:v>-0.02732345090644428</x:v>
      </x:c>
      <x:c r="F64" s="7" t="n">
        <x:v>103163.2453632</x:v>
      </x:c>
      <x:c r="G64" t="str">
        <x:v>P/E above 30; 1Y return below 10%</x:v>
      </x:c>
      <x:c r="H64"/>
      <x:c r="I64"/>
      <x:c r="J64" t="str">
        <x:v>https://finance.yahoo.com/quote/INDHOTEL.NS</x:v>
      </x:c>
    </x:row>
    <x:row r="65">
      <x:c r="A65" t="str">
        <x:v>BRITANNIA</x:v>
      </x:c>
      <x:c r="B65" t="str">
        <x:v>Britannia Industries Ltd.</x:v>
      </x:c>
      <x:c r="C65" t="str">
        <x:v>Fast Moving Consumer Goods</x:v>
      </x:c>
      <x:c r="D65" s="5" t="n">
        <x:v>49.293102</x:v>
      </x:c>
      <x:c r="E65" s="6" t="n">
        <x:v>-0.053062148670709464</x:v>
      </x:c>
      <x:c r="F65" s="7" t="n">
        <x:v>125131.0698496</x:v>
      </x:c>
      <x:c r="G65" t="str">
        <x:v>P/E above 30; 1Y return below 10%</x:v>
      </x:c>
      <x:c r="H65"/>
      <x:c r="I65"/>
      <x:c r="J65" t="str">
        <x:v>https://finance.yahoo.com/quote/BRITANNIA.NS</x:v>
      </x:c>
    </x:row>
    <x:row r="66">
      <x:c r="A66" t="str">
        <x:v>TATACONSUM</x:v>
      </x:c>
      <x:c r="B66" t="str">
        <x:v>Tata Consumer Products Ltd.</x:v>
      </x:c>
      <x:c r="C66" t="str">
        <x:v>Fast Moving Consumer Goods</x:v>
      </x:c>
      <x:c r="D66" s="5" t="n">
        <x:v>71.11324</x:v>
      </x:c>
      <x:c r="E66" s="6" t="n">
        <x:v>0.029959681232430313</x:v>
      </x:c>
      <x:c r="F66" s="7" t="n">
        <x:v>109999.0695936</x:v>
      </x:c>
      <x:c r="G66" t="str">
        <x:v>P/E above 30; 1Y return below 10%</x:v>
      </x:c>
      <x:c r="H66"/>
      <x:c r="I66"/>
      <x:c r="J66" t="str">
        <x:v>https://finance.yahoo.com/quote/TATACONSUM.NS</x:v>
      </x:c>
    </x:row>
    <x:row r="67">
      <x:c r="A67" t="str">
        <x:v>SBILIFE</x:v>
      </x:c>
      <x:c r="B67" t="str">
        <x:v>SBI Life Insurance Company Ltd.</x:v>
      </x:c>
      <x:c r="C67" t="str">
        <x:v>Financial Services</x:v>
      </x:c>
      <x:c r="D67" s="5" t="n">
        <x:v>73.26821</x:v>
      </x:c>
      <x:c r="E67" s="6" t="n">
        <x:v>0.007434001055852013</x:v>
      </x:c>
      <x:c r="F67" s="7" t="n">
        <x:v>180590.936064</x:v>
      </x:c>
      <x:c r="G67" t="str">
        <x:v>P/E above 30; 1Y return below 10%</x:v>
      </x:c>
      <x:c r="H67"/>
      <x:c r="I67"/>
      <x:c r="J67" t="str">
        <x:v>https://finance.yahoo.com/quote/SBILIFE.NS</x:v>
      </x:c>
    </x:row>
    <x:row r="68">
      <x:c r="A68" t="str">
        <x:v>ETERNAL</x:v>
      </x:c>
      <x:c r="B68" t="str">
        <x:v>Eternal Ltd.</x:v>
      </x:c>
      <x:c r="C68" t="str">
        <x:v>Consumer Services</x:v>
      </x:c>
      <x:c r="D68" s="5" t="n">
        <x:v>695.5263</x:v>
      </x:c>
      <x:c r="E68" s="6" t="n">
        <x:v>0.0596583663429604</x:v>
      </x:c>
      <x:c r="F68" s="7" t="n">
        <x:v>242994.5380864</x:v>
      </x:c>
      <x:c r="G68" t="str">
        <x:v>P/E above 30; 1Y return below 10%</x:v>
      </x:c>
      <x:c r="H68"/>
      <x:c r="I68"/>
      <x:c r="J68" t="str">
        <x:v>https://finance.yahoo.com/quote/ETERNAL.NS</x:v>
      </x:c>
    </x:row>
    <x:row r="69">
      <x:c r="A69" t="str">
        <x:v>LODHA</x:v>
      </x:c>
      <x:c r="B69" t="str">
        <x:v>Lodha Developers Ltd.</x:v>
      </x:c>
      <x:c r="C69" t="str">
        <x:v>Realty</x:v>
      </x:c>
      <x:c r="D69" s="5" t="n">
        <x:v>26.815128</x:v>
      </x:c>
      <x:c r="E69" s="6" t="n">
        <x:v>-0.3537418093065833</x:v>
      </x:c>
      <x:c r="F69" s="7" t="n">
        <x:v>91715.3972224</x:v>
      </x:c>
      <x:c r="G69" t="str">
        <x:v>1Y return below 10%</x:v>
      </x:c>
      <x:c r="H69"/>
      <x:c r="I69"/>
      <x:c r="J69" t="str">
        <x:v>https://finance.yahoo.com/quote/LODHA.NS</x:v>
      </x:c>
    </x:row>
    <x:row r="70">
      <x:c r="A70" t="str">
        <x:v>DLF</x:v>
      </x:c>
      <x:c r="B70" t="str">
        <x:v>DLF Ltd.</x:v>
      </x:c>
      <x:c r="C70" t="str">
        <x:v>Realty</x:v>
      </x:c>
      <x:c r="D70" s="5" t="n">
        <x:v>35.06457</x:v>
      </x:c>
      <x:c r="E70" s="6" t="n">
        <x:v>-0.25102056950442864</x:v>
      </x:c>
      <x:c r="F70" s="7" t="n">
        <x:v>154583.2103936</x:v>
      </x:c>
      <x:c r="G70" t="str">
        <x:v>P/E above 30; 1Y return below 10%</x:v>
      </x:c>
      <x:c r="H70"/>
      <x:c r="I70"/>
      <x:c r="J70" t="str">
        <x:v>https://finance.yahoo.com/quote/DLF.NS</x:v>
      </x:c>
    </x:row>
    <x:row r="71">
      <x:c r="A71" t="str">
        <x:v>MAZDOCK</x:v>
      </x:c>
      <x:c r="B71" t="str">
        <x:v>Mazagoan Dock Shipbuilders Ltd.</x:v>
      </x:c>
      <x:c r="C71" t="str">
        <x:v>Capital Goods</x:v>
      </x:c>
      <x:c r="D71" s="5" t="n">
        <x:v>39.262665</x:v>
      </x:c>
      <x:c r="E71" s="6" t="n">
        <x:v>-0.21378154752033873</x:v>
      </x:c>
      <x:c r="F71" s="7" t="n">
        <x:v>101599.3204736</x:v>
      </x:c>
      <x:c r="G71" t="str">
        <x:v>P/E above 30; 1Y return below 10%</x:v>
      </x:c>
      <x:c r="H71"/>
      <x:c r="I71"/>
      <x:c r="J71" t="str">
        <x:v>https://finance.yahoo.com/quote/MAZDOCK.NS</x:v>
      </x:c>
    </x:row>
    <x:row r="72">
      <x:c r="A72" t="str">
        <x:v>DMART</x:v>
      </x:c>
      <x:c r="B72" t="str">
        <x:v>Avenue Supermarts Ltd.</x:v>
      </x:c>
      <x:c r="C72" t="str">
        <x:v>Consumer Services</x:v>
      </x:c>
      <x:c r="D72" s="5" t="n">
        <x:v>93.62087</x:v>
      </x:c>
      <x:c r="E72" s="6" t="n">
        <x:v>0.019937618124828527</x:v>
      </x:c>
      <x:c r="F72" s="7" t="n">
        <x:v>279604.5467648</x:v>
      </x:c>
      <x:c r="G72" t="str">
        <x:v>P/E above 30; 1Y return below 10%</x:v>
      </x:c>
      <x:c r="H72"/>
      <x:c r="I72"/>
      <x:c r="J72" t="str">
        <x:v>https://finance.yahoo.com/quote/DMART.NS</x:v>
      </x:c>
    </x:row>
    <x:row r="73">
      <x:c r="A73" t="str">
        <x:v>UNITDSPR</x:v>
      </x:c>
      <x:c r="B73" t="str">
        <x:v>United Spirits Ltd.</x:v>
      </x:c>
      <x:c r="C73" t="str">
        <x:v>Fast Moving Consumer Goods</x:v>
      </x:c>
      <x:c r="D73" s="5" t="n">
        <x:v>54.95214</x:v>
      </x:c>
      <x:c r="E73" s="6" t="n">
        <x:v>-0.08650319399812434</x:v>
      </x:c>
      <x:c r="F73" s="7" t="n">
        <x:v>96053.32992</x:v>
      </x:c>
      <x:c r="G73" t="str">
        <x:v>P/E above 30; 1Y return below 10%</x:v>
      </x:c>
      <x:c r="H73"/>
      <x:c r="I73"/>
      <x:c r="J73" t="str">
        <x:v>https://finance.yahoo.com/quote/UNITDSPR.NS</x:v>
      </x:c>
    </x:row>
    <x:row r="74">
      <x:c r="A74" t="str">
        <x:v>SHREECEM</x:v>
      </x:c>
      <x:c r="B74" t="str">
        <x:v>Shree Cement Ltd.</x:v>
      </x:c>
      <x:c r="C74" t="str">
        <x:v>Construction Materials</x:v>
      </x:c>
      <x:c r="D74" s="5" t="n">
        <x:v>51.971066</x:v>
      </x:c>
      <x:c r="E74" s="6" t="n">
        <x:v>-0.14039040245455825</x:v>
      </x:c>
      <x:c r="F74" s="7" t="n">
        <x:v>90472.4742144</x:v>
      </x:c>
      <x:c r="G74" t="str">
        <x:v>P/E above 30; 1Y return below 10%</x:v>
      </x:c>
      <x:c r="H74"/>
      <x:c r="I74"/>
      <x:c r="J74" t="str">
        <x:v>https://finance.yahoo.com/quote/SHREECEM.NS</x:v>
      </x:c>
    </x:row>
    <x:row r="75">
      <x:c r="A75" t="str">
        <x:v>MAXHEALTH</x:v>
      </x:c>
      <x:c r="B75" t="str">
        <x:v>Max Healthcare Institute Ltd.</x:v>
      </x:c>
      <x:c r="C75" t="str">
        <x:v>Healthcare</x:v>
      </x:c>
      <x:c r="D75" s="5" t="n">
        <x:v>74.22034</x:v>
      </x:c>
      <x:c r="E75" s="6" t="n">
        <x:v>-0.05759824049540185</x:v>
      </x:c>
      <x:c r="F75" s="7" t="n">
        <x:v>106545.8597888</x:v>
      </x:c>
      <x:c r="G75" t="str">
        <x:v>P/E above 30; 1Y return below 10%</x:v>
      </x:c>
      <x:c r="H75"/>
      <x:c r="I75"/>
      <x:c r="J75" t="str">
        <x:v>https://finance.yahoo.com/quote/MAXHEALTH.NS</x:v>
      </x:c>
    </x:row>
    <x:row r="76">
      <x:c r="A76" t="str">
        <x:v>GODREJCP</x:v>
      </x:c>
      <x:c r="B76" t="str">
        <x:v>Godrej Consumer Products Ltd.</x:v>
      </x:c>
      <x:c r="C76" t="str">
        <x:v>Fast Moving Consumer Goods</x:v>
      </x:c>
      <x:c r="D76" s="5" t="n">
        <x:v>54.947834</x:v>
      </x:c>
      <x:c r="E76" s="6" t="n">
        <x:v>-0.1468904944485382</x:v>
      </x:c>
      <x:c r="F76" s="7" t="n">
        <x:v>102385.8507776</x:v>
      </x:c>
      <x:c r="G76" t="str">
        <x:v>P/E above 30; 1Y return below 10%</x:v>
      </x:c>
      <x:c r="H76"/>
      <x:c r="I76"/>
      <x:c r="J76" t="str">
        <x:v>https://finance.yahoo.com/quote/GODREJCP.NS</x:v>
      </x:c>
    </x:row>
    <x:row r="77">
      <x:c r="A77" t="str">
        <x:v>HDFCLIFE</x:v>
      </x:c>
      <x:c r="B77" t="str">
        <x:v>HDFC Life Insurance Company Ltd.</x:v>
      </x:c>
      <x:c r="C77" t="str">
        <x:v>Financial Services</x:v>
      </x:c>
      <x:c r="D77" s="5" t="n">
        <x:v>66.8757</x:v>
      </x:c>
      <x:c r="E77" s="6" t="n">
        <x:v>-0.21821722597630433</x:v>
      </x:c>
      <x:c r="F77" s="7" t="n">
        <x:v>128545.980416</x:v>
      </x:c>
      <x:c r="G77" t="str">
        <x:v>P/E above 30; 1Y return below 10%</x:v>
      </x:c>
      <x:c r="H77"/>
      <x:c r="I77"/>
      <x:c r="J77" t="str">
        <x:v>https://finance.yahoo.com/quote/HDFCLIFE.NS</x:v>
      </x:c>
    </x:row>
    <x:row r="78">
      <x:c r="A78" t="str">
        <x:v>JIOFIN</x:v>
      </x:c>
      <x:c r="B78" t="str">
        <x:v>Jio Financial Services Ltd.</x:v>
      </x:c>
      <x:c r="C78" t="str">
        <x:v>Financial Services</x:v>
      </x:c>
      <x:c r="D78" s="5" t="n">
        <x:v>101.01239</x:v>
      </x:c>
      <x:c r="E78" s="6" t="n">
        <x:v>-0.13822184112892077</x:v>
      </x:c>
      <x:c r="F78" s="7" t="n">
        <x:v>161413.791744</x:v>
      </x:c>
      <x:c r="G78" t="str">
        <x:v>P/E above 30; 1Y return below 10%</x:v>
      </x:c>
      <x:c r="H78"/>
      <x:c r="I78"/>
      <x:c r="J78" t="str">
        <x:v>https://finance.yahoo.com/quote/JIOFIN.NS</x:v>
      </x:c>
    </x:row>
    <x:row r="79">
      <x:c r="A79" t="str">
        <x:v>TRENT</x:v>
      </x:c>
      <x:c r="B79" t="str">
        <x:v>Trent Ltd.</x:v>
      </x:c>
      <x:c r="C79" t="str">
        <x:v>Consumer Services</x:v>
      </x:c>
      <x:c r="D79" s="5" t="n">
        <x:v>99.651855</x:v>
      </x:c>
      <x:c r="E79" s="6" t="n">
        <x:v>-0.43906047726194664</x:v>
      </x:c>
      <x:c r="F79" s="7" t="n">
        <x:v>170943.6043264</x:v>
      </x:c>
      <x:c r="G79" t="str">
        <x:v>P/E above 30; 1Y return below 10%</x:v>
      </x:c>
      <x:c r="H79"/>
      <x:c r="I79"/>
      <x:c r="J79" t="str">
        <x:v>https://finance.yahoo.com/quote/TRENT.NS</x:v>
      </x:c>
    </x:row>
    <x:row r="80">
      <x:c r="A80" t="str">
        <x:v>INDIGO</x:v>
      </x:c>
      <x:c r="B80" t="str">
        <x:v>InterGlobe Aviation Ltd.</x:v>
      </x:c>
      <x:c r="C80" t="str">
        <x:v>Services</x:v>
      </x:c>
      <x:c r="D80" s="5"/>
      <x:c r="E80" s="6" t="n">
        <x:v>-0.045724536309307506</x:v>
      </x:c>
      <x:c r="F80" s="7" t="n">
        <x:v>194160.0600064</x:v>
      </x:c>
      <x:c r="G80" t="str">
        <x:v>Missing trailing P/E; 1Y return below 10%</x:v>
      </x:c>
      <x:c r="H80"/>
      <x:c r="I80"/>
      <x:c r="J80" t="str">
        <x:v>https://finance.yahoo.com/quote/INDIGO.NS</x:v>
      </x:c>
    </x:row>
    <x:row r="81">
      <x:c r="A81" t="str">
        <x:v>TATACAP</x:v>
      </x:c>
      <x:c r="B81" t="str">
        <x:v>Tata Capital Ltd.</x:v>
      </x:c>
      <x:c r="C81" t="str">
        <x:v>Financial Services</x:v>
      </x:c>
      <x:c r="D81" s="5" t="n">
        <x:v>31.163975</x:v>
      </x:c>
      <x:c r="E81" s="6"/>
      <x:c r="F81" s="7" t="n">
        <x:v>154668.2892288</x:v>
      </x:c>
      <x:c r="G81" t="str">
        <x:v>P/E above 30; Missing 1Y return</x:v>
      </x:c>
      <x:c r="H81" t="str">
        <x:v>Fewer than 200 observations</x:v>
      </x:c>
      <x:c r="I81"/>
      <x:c r="J81" t="str">
        <x:v>https://finance.yahoo.com/quote/TATACAP.NS</x:v>
      </x:c>
    </x:row>
    <x:row r="82">
      <x:c r="A82" t="str">
        <x:v>TMCV</x:v>
      </x:c>
      <x:c r="B82" t="str">
        <x:v>Tata Motors Ltd.</x:v>
      </x:c>
      <x:c r="C82" t="str">
        <x:v>Capital Goods</x:v>
      </x:c>
      <x:c r="D82" s="5" t="n">
        <x:v>48.917274</x:v>
      </x:c>
      <x:c r="E82" s="6"/>
      <x:c r="F82" s="7" t="n">
        <x:v>148072.8772608</x:v>
      </x:c>
      <x:c r="G82" t="str">
        <x:v>P/E above 30; Missing 1Y return</x:v>
      </x:c>
      <x:c r="H82" t="str">
        <x:v>Fewer than 200 observations</x:v>
      </x:c>
      <x:c r="I82"/>
      <x:c r="J82" t="str">
        <x:v>https://finance.yahoo.com/quote/TMCV.NS</x:v>
      </x:c>
    </x:row>
    <x:row r="83">
      <x:c r="A83" t="str">
        <x:v>TMPV</x:v>
      </x:c>
      <x:c r="B83" t="str">
        <x:v>Tata Motors Passenger Vehicles Ltd.</x:v>
      </x:c>
      <x:c r="C83" t="str">
        <x:v>Automobile and Auto Components</x:v>
      </x:c>
      <x:c r="D83" s="5"/>
      <x:c r="E83" s="6" t="n">
        <x:v>-0.46083269820736117</x:v>
      </x:c>
      <x:c r="F83" s="7" t="n">
        <x:v>132383.5588608</x:v>
      </x:c>
      <x:c r="G83" t="str">
        <x:v>Missing trailing P/E; 1Y return below 10%</x:v>
      </x:c>
      <x:c r="H83"/>
      <x:c r="I83"/>
      <x:c r="J83" t="str">
        <x:v>https://finance.yahoo.com/quote/TMPV.NS</x:v>
      </x:c>
    </x:row>
    <x:row r="84">
      <x:c r="A84" t="str">
        <x:v>VAML</x:v>
      </x:c>
      <x:c r="B84" t="str">
        <x:v>Vedanta Aluminium Metal Ltd.</x:v>
      </x:c>
      <x:c r="C84" t="str">
        <x:v>Metals &amp; Mining</x:v>
      </x:c>
      <x:c r="D84" s="5" t="str">
        <x:v>inf</x:v>
      </x:c>
      <x:c r="E84" s="6"/>
      <x:c r="F84" s="7" t="n">
        <x:v>178720.5255168</x:v>
      </x:c>
      <x:c r="G84" t="str">
        <x:v>P/E above 30; Missing 1Y return</x:v>
      </x:c>
      <x:c r="H84" t="str">
        <x:v>Fewer than 200 observations</x:v>
      </x:c>
      <x:c r="I84"/>
      <x:c r="J84" t="str">
        <x:v>https://finance.yahoo.com/quote/VAML.NS</x:v>
      </x:c>
    </x:row>
    <x:row r="85">
      <x:c r="A85" t="str">
        <x:v>VOGL</x:v>
      </x:c>
      <x:c r="B85" t="str">
        <x:v>Vedanta Oil and Gas Ltd.</x:v>
      </x:c>
      <x:c r="C85" t="str">
        <x:v>Oil Gas &amp; Consumable Fuels</x:v>
      </x:c>
      <x:c r="D85" s="5"/>
      <x:c r="E85" s="6"/>
      <x:c r="F85" s="7" t="n">
        <x:v>12832.9588736</x:v>
      </x:c>
      <x:c r="G85" t="str">
        <x:v>Missing trailing P/E; Missing 1Y return</x:v>
      </x:c>
      <x:c r="H85" t="str">
        <x:v>Fewer than 200 observations</x:v>
      </x:c>
      <x:c r="I85"/>
      <x:c r="J85" t="str">
        <x:v>https://finance.yahoo.com/quote/VOGL.NS</x:v>
      </x:c>
    </x:row>
  </x:sheetData>
  <x:pageMargins left="0.7" right="0.7" top="0.75" bottom="0.75" header="0.3" footer="0.3"/>
  <x:tableParts count="1">
    <x:tablePart xmlns:r="http://schemas.openxmlformats.org/officeDocument/2006/relationships" r:id="R980c5bc939e441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5" hidden="0" customWidth="1"/>
    <x:col min="13" max="13" width="15" hidden="0" customWidth="1"/>
    <x:col min="14" max="14" width="34" hidden="0" customWidth="1"/>
    <x:col min="15" max="15" width="14" hidden="0" customWidth="1"/>
    <x:col min="16" max="16" width="20" hidden="0" customWidth="1"/>
    <x:col min="17" max="17" width="20" hidden="0" customWidth="1"/>
    <x:col min="18" max="18" width="14" hidden="0" customWidth="1"/>
    <x:col min="19" max="19" width="28" hidden="0" customWidth="1"/>
    <x:col min="20" max="20" width="14" hidden="0" customWidth="1"/>
    <x:col min="21" max="21" width="34" hidden="0" customWidth="1"/>
    <x:col min="22" max="22" width="15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34" hidden="0" customWidth="1"/>
    <x:col min="31" max="31" width="14" hidden="0" customWidth="1"/>
    <x:col min="32" max="32" width="44" hidden="0" customWidth="1"/>
  </x:cols>
  <x:sheetData>
    <x:row r="1" ht="32" customHeight="1">
      <x:c r="A1" s="4" t="str">
        <x:v>Company Name</x:v>
      </x:c>
      <x:c r="B1" s="4" t="str">
        <x:v>Industry</x:v>
      </x:c>
      <x:c r="C1" s="4" t="str">
        <x:v>Symbol</x:v>
      </x:c>
      <x:c r="D1" s="4" t="str">
        <x:v>Series</x:v>
      </x:c>
      <x:c r="E1" s="4" t="str">
        <x:v>ISIN Code</x:v>
      </x:c>
      <x:c r="F1" s="4" t="str">
        <x:v>Yahoo Symbol</x:v>
      </x:c>
      <x:c r="G1" s="4" t="str">
        <x:v>Current Price (INR)</x:v>
      </x:c>
      <x:c r="H1" s="4" t="str">
        <x:v>1Y Return</x:v>
      </x:c>
      <x:c r="I1" s="4" t="str">
        <x:v>Annualised Volatility</x:v>
      </x:c>
      <x:c r="J1" s="4" t="str">
        <x:v>Maximum Drawdown</x:v>
      </x:c>
      <x:c r="K1" s="4" t="str">
        <x:v>Price Observations</x:v>
      </x:c>
      <x:c r="L1" s="4" t="str">
        <x:v>Price Start</x:v>
      </x:c>
      <x:c r="M1" s="4" t="str">
        <x:v>Price End</x:v>
      </x:c>
      <x:c r="N1" s="4" t="str">
        <x:v>Price Error</x:v>
      </x:c>
      <x:c r="O1" s="4" t="str">
        <x:v>Trailing PE</x:v>
      </x:c>
      <x:c r="P1" s="4" t="str">
        <x:v>Market Cap (INR)</x:v>
      </x:c>
      <x:c r="Q1" s="4" t="str">
        <x:v>Market Cap (INR Crore)</x:v>
      </x:c>
      <x:c r="R1" s="4" t="str">
        <x:v>Yahoo Sector</x:v>
      </x:c>
      <x:c r="S1" s="4" t="str">
        <x:v>Yahoo Industry</x:v>
      </x:c>
      <x:c r="T1" s="4" t="str">
        <x:v>Currency</x:v>
      </x:c>
      <x:c r="U1" s="4" t="str">
        <x:v>Fundamental Error</x:v>
      </x:c>
      <x:c r="V1" s="4" t="str">
        <x:v>Fundamental As Of</x:v>
      </x:c>
      <x:c r="W1" s="4" t="str">
        <x:v>Data Complete</x:v>
      </x:c>
      <x:c r="X1" s="4" t="str">
        <x:v>Value Score</x:v>
      </x:c>
      <x:c r="Y1" s="4" t="str">
        <x:v>Momentum Score</x:v>
      </x:c>
      <x:c r="Z1" s="4" t="str">
        <x:v>Value Contribution</x:v>
      </x:c>
      <x:c r="AA1" s="4" t="str">
        <x:v>Momentum Contribution</x:v>
      </x:c>
      <x:c r="AB1" s="4" t="str">
        <x:v>Composite Score</x:v>
      </x:c>
      <x:c r="AC1" s="4" t="str">
        <x:v>Momentum Efficiency</x:v>
      </x:c>
      <x:c r="AD1" s="4" t="str">
        <x:v>Screen Result</x:v>
      </x:c>
      <x:c r="AE1" s="4" t="str">
        <x:v>Passed</x:v>
      </x:c>
      <x:c r="AF1" s="4" t="str">
        <x:v>Source URL</x:v>
      </x:c>
    </x:row>
    <x:row r="2">
      <x:c r="A2" t="str">
        <x:v>ABB India Ltd.</x:v>
      </x:c>
      <x:c r="B2" t="str">
        <x:v>Capital Goods</x:v>
      </x:c>
      <x:c r="C2" t="str">
        <x:v>ABB</x:v>
      </x:c>
      <x:c r="D2" t="str">
        <x:v>EQ</x:v>
      </x:c>
      <x:c r="E2" t="str">
        <x:v>INE117A01022</x:v>
      </x:c>
      <x:c r="F2" t="str">
        <x:v>ABB.NS</x:v>
      </x:c>
      <x:c r="G2" s="10" t="n">
        <x:v>7248</x:v>
      </x:c>
      <x:c r="H2" s="6" t="n">
        <x:v>0.24238571404538511</x:v>
      </x:c>
      <x:c r="I2" s="6" t="n">
        <x:v>0.28735800275837414</x:v>
      </x:c>
      <x:c r="J2" s="6" t="n">
        <x:v>-0.2269596065490177</x:v>
      </x:c>
      <x:c r="K2" t="n">
        <x:v>250</x:v>
      </x:c>
      <x:c r="L2" t="str">
        <x:v>2025-06-19</x:v>
      </x:c>
      <x:c r="M2" t="str">
        <x:v>2026-06-19</x:v>
      </x:c>
      <x:c r="N2"/>
      <x:c r="O2" s="5" t="n">
        <x:v>99.26048</x:v>
      </x:c>
      <x:c r="P2" s="7" t="n">
        <x:v>1535911788544</x:v>
      </x:c>
      <x:c r="Q2" s="7" t="n">
        <x:v>153591.1788544</x:v>
      </x:c>
      <x:c r="R2" t="str">
        <x:v>Industrials</x:v>
      </x:c>
      <x:c r="S2" t="str">
        <x:v>Specialty Industrial Machinery</x:v>
      </x:c>
      <x:c r="T2" t="str">
        <x:v>INR</x:v>
      </x:c>
      <x:c r="U2"/>
      <x:c r="V2" t="str">
        <x:v>2026-06-19</x:v>
      </x:c>
      <x:c r="W2" t="str">
        <x:v>True</x:v>
      </x:c>
      <x:c r="X2" s="8" t="n">
        <x:v>7.291666666666667</x:v>
      </x:c>
      <x:c r="Y2" s="8" t="n">
        <x:v>73.95833333333334</x:v>
      </x:c>
      <x:c r="Z2" s="8" t="n">
        <x:v>3.28125</x:v>
      </x:c>
      <x:c r="AA2" s="8" t="n">
        <x:v>40.67708333333334</x:v>
      </x:c>
      <x:c r="AB2" s="8" t="n">
        <x:v>43.95833333333334</x:v>
      </x:c>
      <x:c r="AC2" s="9" t="n">
        <x:v>0.843497350756561</x:v>
      </x:c>
      <x:c r="AD2" t="str">
        <x:v>P/E above 30</x:v>
      </x:c>
      <x:c r="AE2" t="str">
        <x:v>False</x:v>
      </x:c>
      <x:c r="AF2" t="str">
        <x:v>https://finance.yahoo.com/quote/ABB.NS</x:v>
      </x:c>
    </x:row>
    <x:row r="3">
      <x:c r="A3" t="str">
        <x:v>Adani Energy Solutions Ltd.</x:v>
      </x:c>
      <x:c r="B3" t="str">
        <x:v>Power</x:v>
      </x:c>
      <x:c r="C3" t="str">
        <x:v>ADANIENSOL</x:v>
      </x:c>
      <x:c r="D3" t="str">
        <x:v>EQ</x:v>
      </x:c>
      <x:c r="E3" t="str">
        <x:v>INE931S01010</x:v>
      </x:c>
      <x:c r="F3" t="str">
        <x:v>ADANIENSOL.NS</x:v>
      </x:c>
      <x:c r="G3" s="10" t="n">
        <x:v>1507.4000244140625</x:v>
      </x:c>
      <x:c r="H3" s="6" t="n">
        <x:v>0.8302574904056377</x:v>
      </x:c>
      <x:c r="I3" s="6" t="n">
        <x:v>0.37768622338304236</x:v>
      </x:c>
      <x:c r="J3" s="6" t="n">
        <x:v>-0.2317799475832698</x:v>
      </x:c>
      <x:c r="K3" t="n">
        <x:v>250</x:v>
      </x:c>
      <x:c r="L3" t="str">
        <x:v>2025-06-19</x:v>
      </x:c>
      <x:c r="M3" t="str">
        <x:v>2026-06-19</x:v>
      </x:c>
      <x:c r="N3"/>
      <x:c r="O3" s="5" t="n">
        <x:v>80.8691</x:v>
      </x:c>
      <x:c r="P3" s="7" t="n">
        <x:v>1810813550592</x:v>
      </x:c>
      <x:c r="Q3" s="7" t="n">
        <x:v>181081.3550592</x:v>
      </x:c>
      <x:c r="R3" t="str">
        <x:v>Utilities</x:v>
      </x:c>
      <x:c r="S3" t="str">
        <x:v>Utilities - Independent Power Producers</x:v>
      </x:c>
      <x:c r="T3" t="str">
        <x:v>INR</x:v>
      </x:c>
      <x:c r="U3"/>
      <x:c r="V3" t="str">
        <x:v>2026-06-19</x:v>
      </x:c>
      <x:c r="W3" t="str">
        <x:v>True</x:v>
      </x:c>
      <x:c r="X3" s="8" t="n">
        <x:v>10.416666666666668</x:v>
      </x:c>
      <x:c r="Y3" s="8" t="n">
        <x:v>97.91666666666666</x:v>
      </x:c>
      <x:c r="Z3" s="8" t="n">
        <x:v>4.687500000000001</x:v>
      </x:c>
      <x:c r="AA3" s="8" t="n">
        <x:v>53.854166666666664</x:v>
      </x:c>
      <x:c r="AB3" s="8" t="n">
        <x:v>58.541666666666664</x:v>
      </x:c>
      <x:c r="AC3" s="9" t="n">
        <x:v>2.198273166992395</x:v>
      </x:c>
      <x:c r="AD3" t="str">
        <x:v>P/E above 30</x:v>
      </x:c>
      <x:c r="AE3" t="str">
        <x:v>False</x:v>
      </x:c>
      <x:c r="AF3" t="str">
        <x:v>https://finance.yahoo.com/quote/ADANIENSOL.NS</x:v>
      </x:c>
    </x:row>
    <x:row r="4">
      <x:c r="A4" t="str">
        <x:v>Adani Enterprises Ltd.</x:v>
      </x:c>
      <x:c r="B4" t="str">
        <x:v>Metals &amp; Mining</x:v>
      </x:c>
      <x:c r="C4" t="str">
        <x:v>ADANIENT</x:v>
      </x:c>
      <x:c r="D4" t="str">
        <x:v>EQ</x:v>
      </x:c>
      <x:c r="E4" t="str">
        <x:v>INE423A01024</x:v>
      </x:c>
      <x:c r="F4" t="str">
        <x:v>ADANIENT.NS</x:v>
      </x:c>
      <x:c r="G4" s="10" t="n">
        <x:v>3038.39990234375</x:v>
      </x:c>
      <x:c r="H4" s="6" t="n">
        <x:v>0.25578710816079386</x:v>
      </x:c>
      <x:c r="I4" s="6" t="n">
        <x:v>0.34149879153262896</x:v>
      </x:c>
      <x:c r="J4" s="6" t="n">
        <x:v>-0.3428485708823117</x:v>
      </x:c>
      <x:c r="K4" t="n">
        <x:v>250</x:v>
      </x:c>
      <x:c r="L4" t="str">
        <x:v>2025-06-19</x:v>
      </x:c>
      <x:c r="M4" t="str">
        <x:v>2026-06-19</x:v>
      </x:c>
      <x:c r="N4"/>
      <x:c r="O4" s="5" t="n">
        <x:v>41.28822</x:v>
      </x:c>
      <x:c r="P4" s="7" t="n">
        <x:v>4168646918144</x:v>
      </x:c>
      <x:c r="Q4" s="7" t="n">
        <x:v>416864.6918144</x:v>
      </x:c>
      <x:c r="R4" t="str">
        <x:v>Energy</x:v>
      </x:c>
      <x:c r="S4" t="str">
        <x:v>Thermal Coal</x:v>
      </x:c>
      <x:c r="T4" t="str">
        <x:v>INR</x:v>
      </x:c>
      <x:c r="U4"/>
      <x:c r="V4" t="str">
        <x:v>2026-06-19</x:v>
      </x:c>
      <x:c r="W4" t="str">
        <x:v>True</x:v>
      </x:c>
      <x:c r="X4" s="8" t="n">
        <x:v>37.5</x:v>
      </x:c>
      <x:c r="Y4" s="8" t="n">
        <x:v>77.08333333333334</x:v>
      </x:c>
      <x:c r="Z4" s="8" t="n">
        <x:v>16.875</x:v>
      </x:c>
      <x:c r="AA4" s="8" t="n">
        <x:v>42.39583333333334</x:v>
      </x:c>
      <x:c r="AB4" s="8" t="n">
        <x:v>59.27083333333334</x:v>
      </x:c>
      <x:c r="AC4" s="9" t="n">
        <x:v>0.7490132161605448</x:v>
      </x:c>
      <x:c r="AD4" t="str">
        <x:v>P/E above 30</x:v>
      </x:c>
      <x:c r="AE4" t="str">
        <x:v>False</x:v>
      </x:c>
      <x:c r="AF4" t="str">
        <x:v>https://finance.yahoo.com/quote/ADANIENT.NS</x:v>
      </x:c>
    </x:row>
    <x:row r="5">
      <x:c r="A5" t="str">
        <x:v>Adani Green Energy Ltd.</x:v>
      </x:c>
      <x:c r="B5" t="str">
        <x:v>Power</x:v>
      </x:c>
      <x:c r="C5" t="str">
        <x:v>ADANIGREEN</x:v>
      </x:c>
      <x:c r="D5" t="str">
        <x:v>EQ</x:v>
      </x:c>
      <x:c r="E5" t="str">
        <x:v>INE364U01010</x:v>
      </x:c>
      <x:c r="F5" t="str">
        <x:v>ADANIGREEN.NS</x:v>
      </x:c>
      <x:c r="G5" s="10" t="n">
        <x:v>1502.4000244140625</x:v>
      </x:c>
      <x:c r="H5" s="6" t="n">
        <x:v>0.6085653366317585</x:v>
      </x:c>
      <x:c r="I5" s="6" t="n">
        <x:v>0.41962442265307465</x:v>
      </x:c>
      <x:c r="J5" s="6" t="n">
        <x:v>-0.32925402819308713</x:v>
      </x:c>
      <x:c r="K5" t="n">
        <x:v>250</x:v>
      </x:c>
      <x:c r="L5" t="str">
        <x:v>2025-06-19</x:v>
      </x:c>
      <x:c r="M5" t="str">
        <x:v>2026-06-19</x:v>
      </x:c>
      <x:c r="N5"/>
      <x:c r="O5" s="5" t="n">
        <x:v>155.85062</x:v>
      </x:c>
      <x:c r="P5" s="7" t="n">
        <x:v>2474717478912</x:v>
      </x:c>
      <x:c r="Q5" s="7" t="n">
        <x:v>247471.7478912</x:v>
      </x:c>
      <x:c r="R5" t="str">
        <x:v>Utilities</x:v>
      </x:c>
      <x:c r="S5" t="str">
        <x:v>Utilities - Renewable</x:v>
      </x:c>
      <x:c r="T5" t="str">
        <x:v>INR</x:v>
      </x:c>
      <x:c r="U5"/>
      <x:c r="V5" t="str">
        <x:v>2026-06-19</x:v>
      </x:c>
      <x:c r="W5" t="str">
        <x:v>True</x:v>
      </x:c>
      <x:c r="X5" s="8" t="n">
        <x:v>2.083333333333333</x:v>
      </x:c>
      <x:c r="Y5" s="8" t="n">
        <x:v>96.875</x:v>
      </x:c>
      <x:c r="Z5" s="8" t="n">
        <x:v>0.9374999999999999</x:v>
      </x:c>
      <x:c r="AA5" s="8" t="n">
        <x:v>53.28125000000001</x:v>
      </x:c>
      <x:c r="AB5" s="8" t="n">
        <x:v>54.21875000000001</x:v>
      </x:c>
      <x:c r="AC5" s="9" t="n">
        <x:v>1.4502619575479074</x:v>
      </x:c>
      <x:c r="AD5" t="str">
        <x:v>P/E above 30</x:v>
      </x:c>
      <x:c r="AE5" t="str">
        <x:v>False</x:v>
      </x:c>
      <x:c r="AF5" t="str">
        <x:v>https://finance.yahoo.com/quote/ADANIGREEN.NS</x:v>
      </x:c>
    </x:row>
    <x:row r="6">
      <x:c r="A6" t="str">
        <x:v>Adani Ports and Special Economic Zone Ltd.</x:v>
      </x:c>
      <x:c r="B6" t="str">
        <x:v>Services</x:v>
      </x:c>
      <x:c r="C6" t="str">
        <x:v>ADANIPORTS</x:v>
      </x:c>
      <x:c r="D6" t="str">
        <x:v>EQ</x:v>
      </x:c>
      <x:c r="E6" t="str">
        <x:v>INE742F01042</x:v>
      </x:c>
      <x:c r="F6" t="str">
        <x:v>ADANIPORTS.NS</x:v>
      </x:c>
      <x:c r="G6" s="10" t="n">
        <x:v>1835.300048828125</x:v>
      </x:c>
      <x:c r="H6" s="6" t="n">
        <x:v>0.3774549936160638</x:v>
      </x:c>
      <x:c r="I6" s="6" t="n">
        <x:v>0.2691485990416403</x:v>
      </x:c>
      <x:c r="J6" s="6" t="n">
        <x:v>-0.16978732689545983</x:v>
      </x:c>
      <x:c r="K6" t="n">
        <x:v>250</x:v>
      </x:c>
      <x:c r="L6" t="str">
        <x:v>2025-06-19</x:v>
      </x:c>
      <x:c r="M6" t="str">
        <x:v>2026-06-19</x:v>
      </x:c>
      <x:c r="N6"/>
      <x:c r="O6" s="5" t="n">
        <x:v>31.480276</x:v>
      </x:c>
      <x:c r="P6" s="7" t="n">
        <x:v>4228456120320</x:v>
      </x:c>
      <x:c r="Q6" s="7" t="n">
        <x:v>422845.612032</x:v>
      </x:c>
      <x:c r="R6" t="str">
        <x:v>Industrials</x:v>
      </x:c>
      <x:c r="S6" t="str">
        <x:v>Marine Shipping</x:v>
      </x:c>
      <x:c r="T6" t="str">
        <x:v>INR</x:v>
      </x:c>
      <x:c r="U6"/>
      <x:c r="V6" t="str">
        <x:v>2026-06-19</x:v>
      </x:c>
      <x:c r="W6" t="str">
        <x:v>True</x:v>
      </x:c>
      <x:c r="X6" s="8" t="n">
        <x:v>52.083333333333336</x:v>
      </x:c>
      <x:c r="Y6" s="8" t="n">
        <x:v>88.54166666666666</x:v>
      </x:c>
      <x:c r="Z6" s="8" t="n">
        <x:v>23.4375</x:v>
      </x:c>
      <x:c r="AA6" s="8" t="n">
        <x:v>48.697916666666664</x:v>
      </x:c>
      <x:c r="AB6" s="8" t="n">
        <x:v>72.13541666666666</x:v>
      </x:c>
      <x:c r="AC6" s="9" t="n">
        <x:v>1.4024037091780193</x:v>
      </x:c>
      <x:c r="AD6" t="str">
        <x:v>P/E above 30</x:v>
      </x:c>
      <x:c r="AE6" t="str">
        <x:v>False</x:v>
      </x:c>
      <x:c r="AF6" t="str">
        <x:v>https://finance.yahoo.com/quote/ADANIPORTS.NS</x:v>
      </x:c>
    </x:row>
    <x:row r="7">
      <x:c r="A7" t="str">
        <x:v>Adani Power Ltd.</x:v>
      </x:c>
      <x:c r="B7" t="str">
        <x:v>Power</x:v>
      </x:c>
      <x:c r="C7" t="str">
        <x:v>ADANIPOWER</x:v>
      </x:c>
      <x:c r="D7" t="str">
        <x:v>EQ</x:v>
      </x:c>
      <x:c r="E7" t="str">
        <x:v>INE814H01029</x:v>
      </x:c>
      <x:c r="F7" t="str">
        <x:v>ADANIPOWER.NS</x:v>
      </x:c>
      <x:c r="G7" s="10" t="n">
        <x:v>231.75999450683594</x:v>
      </x:c>
      <x:c r="H7" s="6" t="n">
        <x:v>1.1599253300584058</x:v>
      </x:c>
      <x:c r="I7" s="6" t="n">
        <x:v>0.42998763000981316</x:v>
      </x:c>
      <x:c r="J7" s="6" t="n">
        <x:v>-0.2214544579913329</x:v>
      </x:c>
      <x:c r="K7" t="n">
        <x:v>250</x:v>
      </x:c>
      <x:c r="L7" t="str">
        <x:v>2025-06-19</x:v>
      </x:c>
      <x:c r="M7" t="str">
        <x:v>2026-06-19</x:v>
      </x:c>
      <x:c r="N7"/>
      <x:c r="O7" s="5" t="n">
        <x:v>35.062027</x:v>
      </x:c>
      <x:c r="P7" s="7" t="n">
        <x:v>4469420982272</x:v>
      </x:c>
      <x:c r="Q7" s="7" t="n">
        <x:v>446942.0982272</x:v>
      </x:c>
      <x:c r="R7" t="str">
        <x:v>Utilities</x:v>
      </x:c>
      <x:c r="S7" t="str">
        <x:v>Utilities - Independent Power Producers</x:v>
      </x:c>
      <x:c r="T7" t="str">
        <x:v>INR</x:v>
      </x:c>
      <x:c r="U7"/>
      <x:c r="V7" t="str">
        <x:v>2026-06-19</x:v>
      </x:c>
      <x:c r="W7" t="str">
        <x:v>True</x:v>
      </x:c>
      <x:c r="X7" s="8" t="n">
        <x:v>46.875</x:v>
      </x:c>
      <x:c r="Y7" s="8" t="n">
        <x:v>100</x:v>
      </x:c>
      <x:c r="Z7" s="8" t="n">
        <x:v>21.09375</x:v>
      </x:c>
      <x:c r="AA7" s="8" t="n">
        <x:v>55.00000000000001</x:v>
      </x:c>
      <x:c r="AB7" s="8" t="n">
        <x:v>76.09375</x:v>
      </x:c>
      <x:c r="AC7" s="9" t="n">
        <x:v>2.697578369945047</x:v>
      </x:c>
      <x:c r="AD7" t="str">
        <x:v>P/E above 30</x:v>
      </x:c>
      <x:c r="AE7" t="str">
        <x:v>False</x:v>
      </x:c>
      <x:c r="AF7" t="str">
        <x:v>https://finance.yahoo.com/quote/ADANIPOWER.NS</x:v>
      </x:c>
    </x:row>
    <x:row r="8">
      <x:c r="A8" t="str">
        <x:v>Ambuja Cements Ltd.</x:v>
      </x:c>
      <x:c r="B8" t="str">
        <x:v>Construction Materials</x:v>
      </x:c>
      <x:c r="C8" t="str">
        <x:v>AMBUJACEM</x:v>
      </x:c>
      <x:c r="D8" t="str">
        <x:v>EQ</x:v>
      </x:c>
      <x:c r="E8" t="str">
        <x:v>INE079A01024</x:v>
      </x:c>
      <x:c r="F8" t="str">
        <x:v>AMBUJACEM.NS</x:v>
      </x:c>
      <x:c r="G8" s="10" t="n">
        <x:v>423.95001220703125</x:v>
      </x:c>
      <x:c r="H8" s="6" t="n">
        <x:v>-0.20035934342405215</x:v>
      </x:c>
      <x:c r="I8" s="6" t="n">
        <x:v>0.26589963382583076</x:v>
      </x:c>
      <x:c r="J8" s="6" t="n">
        <x:v>-0.36290385314321527</x:v>
      </x:c>
      <x:c r="K8" t="n">
        <x:v>250</x:v>
      </x:c>
      <x:c r="L8" t="str">
        <x:v>2025-06-19</x:v>
      </x:c>
      <x:c r="M8" t="str">
        <x:v>2026-06-19</x:v>
      </x:c>
      <x:c r="N8"/>
      <x:c r="O8" s="5" t="n">
        <x:v>22.266281</x:v>
      </x:c>
      <x:c r="P8" s="7" t="n">
        <x:v>1053438246912</x:v>
      </x:c>
      <x:c r="Q8" s="7" t="n">
        <x:v>105343.8246912</x:v>
      </x:c>
      <x:c r="R8" t="str">
        <x:v>Basic Materials</x:v>
      </x:c>
      <x:c r="S8" t="str">
        <x:v>Building Materials</x:v>
      </x:c>
      <x:c r="T8" t="str">
        <x:v>INR</x:v>
      </x:c>
      <x:c r="U8"/>
      <x:c r="V8" t="str">
        <x:v>2026-06-19</x:v>
      </x:c>
      <x:c r="W8" t="str">
        <x:v>True</x:v>
      </x:c>
      <x:c r="X8" s="8" t="n">
        <x:v>64.58333333333334</x:v>
      </x:c>
      <x:c r="Y8" s="8" t="n">
        <x:v>15.625</x:v>
      </x:c>
      <x:c r="Z8" s="8" t="n">
        <x:v>29.062500000000004</x:v>
      </x:c>
      <x:c r="AA8" s="8" t="n">
        <x:v>8.59375</x:v>
      </x:c>
      <x:c r="AB8" s="8" t="n">
        <x:v>37.65625</x:v>
      </x:c>
      <x:c r="AC8" s="9" t="n">
        <x:v>-0.7535149279494355</x:v>
      </x:c>
      <x:c r="AD8" t="str">
        <x:v>1Y return below 10%</x:v>
      </x:c>
      <x:c r="AE8" t="str">
        <x:v>False</x:v>
      </x:c>
      <x:c r="AF8" t="str">
        <x:v>https://finance.yahoo.com/quote/AMBUJACEM.NS</x:v>
      </x:c>
    </x:row>
    <x:row r="9">
      <x:c r="A9" t="str">
        <x:v>Apollo Hospitals Enterprise Ltd.</x:v>
      </x:c>
      <x:c r="B9" t="str">
        <x:v>Healthcare</x:v>
      </x:c>
      <x:c r="C9" t="str">
        <x:v>APOLLOHOSP</x:v>
      </x:c>
      <x:c r="D9" t="str">
        <x:v>EQ</x:v>
      </x:c>
      <x:c r="E9" t="str">
        <x:v>INE437A01024</x:v>
      </x:c>
      <x:c r="F9" t="str">
        <x:v>APOLLOHOSP.NS</x:v>
      </x:c>
      <x:c r="G9" s="10" t="n">
        <x:v>8489.5</x:v>
      </x:c>
      <x:c r="H9" s="6" t="n">
        <x:v>0.21430223683372418</x:v>
      </x:c>
      <x:c r="I9" s="6" t="n">
        <x:v>0.19935620541762156</x:v>
      </x:c>
      <x:c r="J9" s="6" t="n">
        <x:v>-0.15208440978271498</x:v>
      </x:c>
      <x:c r="K9" t="n">
        <x:v>250</x:v>
      </x:c>
      <x:c r="L9" t="str">
        <x:v>2025-06-19</x:v>
      </x:c>
      <x:c r="M9" t="str">
        <x:v>2026-06-19</x:v>
      </x:c>
      <x:c r="N9"/>
      <x:c r="O9" s="5" t="n">
        <x:v>62.843292</x:v>
      </x:c>
      <x:c r="P9" s="7" t="n">
        <x:v>1220659773440</x:v>
      </x:c>
      <x:c r="Q9" s="7" t="n">
        <x:v>122065.977344</x:v>
      </x:c>
      <x:c r="R9" t="str">
        <x:v>Healthcare</x:v>
      </x:c>
      <x:c r="S9" t="str">
        <x:v>Medical Care Facilities</x:v>
      </x:c>
      <x:c r="T9" t="str">
        <x:v>INR</x:v>
      </x:c>
      <x:c r="U9"/>
      <x:c r="V9" t="str">
        <x:v>2026-06-19</x:v>
      </x:c>
      <x:c r="W9" t="str">
        <x:v>True</x:v>
      </x:c>
      <x:c r="X9" s="8" t="n">
        <x:v>22.916666666666664</x:v>
      </x:c>
      <x:c r="Y9" s="8" t="n">
        <x:v>70.83333333333334</x:v>
      </x:c>
      <x:c r="Z9" s="8" t="n">
        <x:v>10.3125</x:v>
      </x:c>
      <x:c r="AA9" s="8" t="n">
        <x:v>38.95833333333334</x:v>
      </x:c>
      <x:c r="AB9" s="8" t="n">
        <x:v>49.27083333333334</x:v>
      </x:c>
      <x:c r="AC9" s="9" t="n">
        <x:v>1.0749714882704198</x:v>
      </x:c>
      <x:c r="AD9" t="str">
        <x:v>P/E above 30</x:v>
      </x:c>
      <x:c r="AE9" t="str">
        <x:v>False</x:v>
      </x:c>
      <x:c r="AF9" t="str">
        <x:v>https://finance.yahoo.com/quote/APOLLOHOSP.NS</x:v>
      </x:c>
    </x:row>
    <x:row r="10">
      <x:c r="A10" t="str">
        <x:v>Asian Paints Ltd.</x:v>
      </x:c>
      <x:c r="B10" t="str">
        <x:v>Consumer Durables</x:v>
      </x:c>
      <x:c r="C10" t="str">
        <x:v>ASIANPAINT</x:v>
      </x:c>
      <x:c r="D10" t="str">
        <x:v>EQ</x:v>
      </x:c>
      <x:c r="E10" t="str">
        <x:v>INE021A01026</x:v>
      </x:c>
      <x:c r="F10" t="str">
        <x:v>ASIANPAINT.NS</x:v>
      </x:c>
      <x:c r="G10" s="10" t="n">
        <x:v>2732.89990234375</x:v>
      </x:c>
      <x:c r="H10" s="6" t="n">
        <x:v>0.20686295100122343</x:v>
      </x:c>
      <x:c r="I10" s="6" t="n">
        <x:v>0.23786745405833</x:v>
      </x:c>
      <x:c r="J10" s="6" t="n">
        <x:v>-0.2853966485335607</x:v>
      </x:c>
      <x:c r="K10" t="n">
        <x:v>250</x:v>
      </x:c>
      <x:c r="L10" t="str">
        <x:v>2025-06-19</x:v>
      </x:c>
      <x:c r="M10" t="str">
        <x:v>2026-06-19</x:v>
      </x:c>
      <x:c r="N10"/>
      <x:c r="O10" s="5" t="n">
        <x:v>60.636784</x:v>
      </x:c>
      <x:c r="P10" s="7" t="n">
        <x:v>2619878932480</x:v>
      </x:c>
      <x:c r="Q10" s="7" t="n">
        <x:v>261987.893248</x:v>
      </x:c>
      <x:c r="R10" t="str">
        <x:v>Basic Materials</x:v>
      </x:c>
      <x:c r="S10" t="str">
        <x:v>Specialty Chemicals</x:v>
      </x:c>
      <x:c r="T10" t="str">
        <x:v>INR</x:v>
      </x:c>
      <x:c r="U10"/>
      <x:c r="V10" t="str">
        <x:v>2026-06-19</x:v>
      </x:c>
      <x:c r="W10" t="str">
        <x:v>True</x:v>
      </x:c>
      <x:c r="X10" s="8" t="n">
        <x:v>23.958333333333336</x:v>
      </x:c>
      <x:c r="Y10" s="8" t="n">
        <x:v>69.79166666666666</x:v>
      </x:c>
      <x:c r="Z10" s="8" t="n">
        <x:v>10.781250000000002</x:v>
      </x:c>
      <x:c r="AA10" s="8" t="n">
        <x:v>38.385416666666664</x:v>
      </x:c>
      <x:c r="AB10" s="8" t="n">
        <x:v>49.166666666666664</x:v>
      </x:c>
      <x:c r="AC10" s="9" t="n">
        <x:v>0.869656388345151</x:v>
      </x:c>
      <x:c r="AD10" t="str">
        <x:v>P/E above 30</x:v>
      </x:c>
      <x:c r="AE10" t="str">
        <x:v>False</x:v>
      </x:c>
      <x:c r="AF10" t="str">
        <x:v>https://finance.yahoo.com/quote/ASIANPAINT.NS</x:v>
      </x:c>
    </x:row>
    <x:row r="11">
      <x:c r="A11" t="str">
        <x:v>Axis Bank Ltd.</x:v>
      </x:c>
      <x:c r="B11" t="str">
        <x:v>Financial Services</x:v>
      </x:c>
      <x:c r="C11" t="str">
        <x:v>AXISBANK</x:v>
      </x:c>
      <x:c r="D11" t="str">
        <x:v>EQ</x:v>
      </x:c>
      <x:c r="E11" t="str">
        <x:v>INE238A01034</x:v>
      </x:c>
      <x:c r="F11" t="str">
        <x:v>AXISBANK.NS</x:v>
      </x:c>
      <x:c r="G11" s="10" t="n">
        <x:v>1357.9000244140625</x:v>
      </x:c>
      <x:c r="H11" s="6" t="n">
        <x:v>0.11627152493923121</x:v>
      </x:c>
      <x:c r="I11" s="6" t="n">
        <x:v>0.23498175984279862</x:v>
      </x:c>
      <x:c r="J11" s="6" t="n">
        <x:v>-0.1722736644133107</x:v>
      </x:c>
      <x:c r="K11" t="n">
        <x:v>250</x:v>
      </x:c>
      <x:c r="L11" t="str">
        <x:v>2025-06-19</x:v>
      </x:c>
      <x:c r="M11" t="str">
        <x:v>2026-06-19</x:v>
      </x:c>
      <x:c r="N11"/>
      <x:c r="O11" s="5" t="n">
        <x:v>16.06222</x:v>
      </x:c>
      <x:c r="P11" s="7" t="n">
        <x:v>4223410372608</x:v>
      </x:c>
      <x:c r="Q11" s="7" t="n">
        <x:v>422341.0372608</x:v>
      </x:c>
      <x:c r="R11" t="str">
        <x:v>Financial Services</x:v>
      </x:c>
      <x:c r="S11" t="str">
        <x:v>Banks - Regional</x:v>
      </x:c>
      <x:c r="T11" t="str">
        <x:v>INR</x:v>
      </x:c>
      <x:c r="U11"/>
      <x:c r="V11" t="str">
        <x:v>2026-06-19</x:v>
      </x:c>
      <x:c r="W11" t="str">
        <x:v>True</x:v>
      </x:c>
      <x:c r="X11" s="8" t="n">
        <x:v>79.16666666666666</x:v>
      </x:c>
      <x:c r="Y11" s="8" t="n">
        <x:v>57.291666666666664</x:v>
      </x:c>
      <x:c r="Z11" s="8" t="n">
        <x:v>35.625</x:v>
      </x:c>
      <x:c r="AA11" s="8" t="n">
        <x:v>31.510416666666668</x:v>
      </x:c>
      <x:c r="AB11" s="8" t="n">
        <x:v>67.13541666666667</x:v>
      </x:c>
      <x:c r="AC11" s="9" t="n">
        <x:v>0.4948108526253959</x:v>
      </x:c>
      <x:c r="AD11" t="str">
        <x:v>Passed all filters</x:v>
      </x:c>
      <x:c r="AE11" t="str">
        <x:v>True</x:v>
      </x:c>
      <x:c r="AF11" t="str">
        <x:v>https://finance.yahoo.com/quote/AXISBANK.NS</x:v>
      </x:c>
    </x:row>
    <x:row r="12">
      <x:c r="A12" t="str">
        <x:v>Bajaj Auto Ltd.</x:v>
      </x:c>
      <x:c r="B12" t="str">
        <x:v>Automobile and Auto Components</x:v>
      </x:c>
      <x:c r="C12" t="str">
        <x:v>BAJAJ-AUTO</x:v>
      </x:c>
      <x:c r="D12" t="str">
        <x:v>EQ</x:v>
      </x:c>
      <x:c r="E12" t="str">
        <x:v>INE917I01010</x:v>
      </x:c>
      <x:c r="F12" t="str">
        <x:v>BAJAJ-AUTO.NS</x:v>
      </x:c>
      <x:c r="G12" s="10" t="n">
        <x:v>10066</x:v>
      </x:c>
      <x:c r="H12" s="6" t="n">
        <x:v>0.23191672729093704</x:v>
      </x:c>
      <x:c r="I12" s="6" t="n">
        <x:v>0.21805611766562225</x:v>
      </x:c>
      <x:c r="J12" s="6" t="n">
        <x:v>-0.13367955187626246</x:v>
      </x:c>
      <x:c r="K12" t="n">
        <x:v>250</x:v>
      </x:c>
      <x:c r="L12" t="str">
        <x:v>2025-06-19</x:v>
      </x:c>
      <x:c r="M12" t="str">
        <x:v>2026-06-19</x:v>
      </x:c>
      <x:c r="N12"/>
      <x:c r="O12" s="5" t="n">
        <x:v>26.169924</x:v>
      </x:c>
      <x:c r="P12" s="7" t="n">
        <x:v>2811149418496</x:v>
      </x:c>
      <x:c r="Q12" s="7" t="n">
        <x:v>281114.9418496</x:v>
      </x:c>
      <x:c r="R12" t="str">
        <x:v>Consumer Cyclical</x:v>
      </x:c>
      <x:c r="S12" t="str">
        <x:v>Auto Manufacturers</x:v>
      </x:c>
      <x:c r="T12" t="str">
        <x:v>INR</x:v>
      </x:c>
      <x:c r="U12"/>
      <x:c r="V12" t="str">
        <x:v>2026-06-19</x:v>
      </x:c>
      <x:c r="W12" t="str">
        <x:v>True</x:v>
      </x:c>
      <x:c r="X12" s="8" t="n">
        <x:v>59.375</x:v>
      </x:c>
      <x:c r="Y12" s="8" t="n">
        <x:v>71.875</x:v>
      </x:c>
      <x:c r="Z12" s="8" t="n">
        <x:v>26.71875</x:v>
      </x:c>
      <x:c r="AA12" s="8" t="n">
        <x:v>39.53125</x:v>
      </x:c>
      <x:c r="AB12" s="8" t="n">
        <x:v>66.25</x:v>
      </x:c>
      <x:c r="AC12" s="9" t="n">
        <x:v>1.0635644153151866</x:v>
      </x:c>
      <x:c r="AD12" t="str">
        <x:v>Passed all filters</x:v>
      </x:c>
      <x:c r="AE12" t="str">
        <x:v>True</x:v>
      </x:c>
      <x:c r="AF12" t="str">
        <x:v>https://finance.yahoo.com/quote/BAJAJ-AUTO.NS</x:v>
      </x:c>
    </x:row>
    <x:row r="13">
      <x:c r="A13" t="str">
        <x:v>Bajaj Finserv Ltd.</x:v>
      </x:c>
      <x:c r="B13" t="str">
        <x:v>Financial Services</x:v>
      </x:c>
      <x:c r="C13" t="str">
        <x:v>BAJAJFINSV</x:v>
      </x:c>
      <x:c r="D13" t="str">
        <x:v>EQ</x:v>
      </x:c>
      <x:c r="E13" t="str">
        <x:v>INE918I01026</x:v>
      </x:c>
      <x:c r="F13" t="str">
        <x:v>BAJAJFINSV.NS</x:v>
      </x:c>
      <x:c r="G13" s="10" t="n">
        <x:v>1769.4000244140625</x:v>
      </x:c>
      <x:c r="H13" s="6" t="n">
        <x:v>-0.10029371729276082</x:v>
      </x:c>
      <x:c r="I13" s="6" t="n">
        <x:v>0.2251136385257559</x:v>
      </x:c>
      <x:c r="J13" s="6" t="n">
        <x:v>-0.2502986420954233</x:v>
      </x:c>
      <x:c r="K13" t="n">
        <x:v>250</x:v>
      </x:c>
      <x:c r="L13" t="str">
        <x:v>2025-06-19</x:v>
      </x:c>
      <x:c r="M13" t="str">
        <x:v>2026-06-19</x:v>
      </x:c>
      <x:c r="N13"/>
      <x:c r="O13" s="5" t="n">
        <x:v>29.030354</x:v>
      </x:c>
      <x:c r="P13" s="7" t="n">
        <x:v>2828400590848</x:v>
      </x:c>
      <x:c r="Q13" s="7" t="n">
        <x:v>282840.0590848</x:v>
      </x:c>
      <x:c r="R13" t="str">
        <x:v>Financial Services</x:v>
      </x:c>
      <x:c r="S13" t="str">
        <x:v>Financial Conglomerates</x:v>
      </x:c>
      <x:c r="T13" t="str">
        <x:v>INR</x:v>
      </x:c>
      <x:c r="U13"/>
      <x:c r="V13" t="str">
        <x:v>2026-06-19</x:v>
      </x:c>
      <x:c r="W13" t="str">
        <x:v>True</x:v>
      </x:c>
      <x:c r="X13" s="8" t="n">
        <x:v>54.166666666666664</x:v>
      </x:c>
      <x:c r="Y13" s="8" t="n">
        <x:v>21.875</x:v>
      </x:c>
      <x:c r="Z13" s="8" t="n">
        <x:v>24.375</x:v>
      </x:c>
      <x:c r="AA13" s="8" t="n">
        <x:v>12.031250000000002</x:v>
      </x:c>
      <x:c r="AB13" s="8" t="n">
        <x:v>36.40625</x:v>
      </x:c>
      <x:c r="AC13" s="9" t="n">
        <x:v>-0.4455248378089093</x:v>
      </x:c>
      <x:c r="AD13" t="str">
        <x:v>1Y return below 10%</x:v>
      </x:c>
      <x:c r="AE13" t="str">
        <x:v>False</x:v>
      </x:c>
      <x:c r="AF13" t="str">
        <x:v>https://finance.yahoo.com/quote/BAJAJFINSV.NS</x:v>
      </x:c>
    </x:row>
    <x:row r="14">
      <x:c r="A14" t="str">
        <x:v>Bajaj Holdings &amp; Investment Ltd.</x:v>
      </x:c>
      <x:c r="B14" t="str">
        <x:v>Financial Services</x:v>
      </x:c>
      <x:c r="C14" t="str">
        <x:v>BAJAJHLDNG</x:v>
      </x:c>
      <x:c r="D14" t="str">
        <x:v>EQ</x:v>
      </x:c>
      <x:c r="E14" t="str">
        <x:v>INE118A01012</x:v>
      </x:c>
      <x:c r="F14" t="str">
        <x:v>BAJAJHLDNG.NS</x:v>
      </x:c>
      <x:c r="G14" s="10" t="n">
        <x:v>10677</x:v>
      </x:c>
      <x:c r="H14" s="6" t="n">
        <x:v>-0.20152117246430112</x:v>
      </x:c>
      <x:c r="I14" s="6" t="n">
        <x:v>0.2828736271622392</x:v>
      </x:c>
      <x:c r="J14" s="6" t="n">
        <x:v>-0.3948040437470275</x:v>
      </x:c>
      <x:c r="K14" t="n">
        <x:v>250</x:v>
      </x:c>
      <x:c r="L14" t="str">
        <x:v>2025-06-19</x:v>
      </x:c>
      <x:c r="M14" t="str">
        <x:v>2026-06-19</x:v>
      </x:c>
      <x:c r="N14"/>
      <x:c r="O14" s="5" t="n">
        <x:v>12.323123</x:v>
      </x:c>
      <x:c r="P14" s="7" t="n">
        <x:v>1188280795136</x:v>
      </x:c>
      <x:c r="Q14" s="7" t="n">
        <x:v>118828.0795136</x:v>
      </x:c>
      <x:c r="R14" t="str">
        <x:v>Financial Services</x:v>
      </x:c>
      <x:c r="S14" t="str">
        <x:v>Asset Management</x:v>
      </x:c>
      <x:c r="T14" t="str">
        <x:v>INR</x:v>
      </x:c>
      <x:c r="U14"/>
      <x:c r="V14" t="str">
        <x:v>2026-06-19</x:v>
      </x:c>
      <x:c r="W14" t="str">
        <x:v>True</x:v>
      </x:c>
      <x:c r="X14" s="8" t="n">
        <x:v>86.45833333333334</x:v>
      </x:c>
      <x:c r="Y14" s="8" t="n">
        <x:v>14.583333333333334</x:v>
      </x:c>
      <x:c r="Z14" s="8" t="n">
        <x:v>38.90625000000001</x:v>
      </x:c>
      <x:c r="AA14" s="8" t="n">
        <x:v>8.020833333333334</x:v>
      </x:c>
      <x:c r="AB14" s="8" t="n">
        <x:v>46.92708333333334</x:v>
      </x:c>
      <x:c r="AC14" s="9" t="n">
        <x:v>-0.7124070719704131</x:v>
      </x:c>
      <x:c r="AD14" t="str">
        <x:v>1Y return below 10%</x:v>
      </x:c>
      <x:c r="AE14" t="str">
        <x:v>False</x:v>
      </x:c>
      <x:c r="AF14" t="str">
        <x:v>https://finance.yahoo.com/quote/BAJAJHLDNG.NS</x:v>
      </x:c>
    </x:row>
    <x:row r="15">
      <x:c r="A15" t="str">
        <x:v>Bajaj Finance Ltd.</x:v>
      </x:c>
      <x:c r="B15" t="str">
        <x:v>Financial Services</x:v>
      </x:c>
      <x:c r="C15" t="str">
        <x:v>BAJFINANCE</x:v>
      </x:c>
      <x:c r="D15" t="str">
        <x:v>EQ</x:v>
      </x:c>
      <x:c r="E15" t="str">
        <x:v>INE296A01032</x:v>
      </x:c>
      <x:c r="F15" t="str">
        <x:v>BAJFINANCE.NS</x:v>
      </x:c>
      <x:c r="G15" s="10" t="n">
        <x:v>961.7999877929688</x:v>
      </x:c>
      <x:c r="H15" s="6" t="n">
        <x:v>0.06807327905937677</x:v>
      </x:c>
      <x:c r="I15" s="6" t="n">
        <x:v>0.2913713211635071</x:v>
      </x:c>
      <x:c r="J15" s="6" t="n">
        <x:v>-0.2674222273840249</x:v>
      </x:c>
      <x:c r="K15" t="n">
        <x:v>250</x:v>
      </x:c>
      <x:c r="L15" t="str">
        <x:v>2025-06-19</x:v>
      </x:c>
      <x:c r="M15" t="str">
        <x:v>2026-06-19</x:v>
      </x:c>
      <x:c r="N15"/>
      <x:c r="O15" s="5" t="n">
        <x:v>31.513762</x:v>
      </x:c>
      <x:c r="P15" s="7" t="n">
        <x:v>5980353462272</x:v>
      </x:c>
      <x:c r="Q15" s="7" t="n">
        <x:v>598035.3462272</x:v>
      </x:c>
      <x:c r="R15" t="str">
        <x:v>Financial Services</x:v>
      </x:c>
      <x:c r="S15" t="str">
        <x:v>Credit Services</x:v>
      </x:c>
      <x:c r="T15" t="str">
        <x:v>INR</x:v>
      </x:c>
      <x:c r="U15"/>
      <x:c r="V15" t="str">
        <x:v>2026-06-19</x:v>
      </x:c>
      <x:c r="W15" t="str">
        <x:v>True</x:v>
      </x:c>
      <x:c r="X15" s="8" t="n">
        <x:v>51.041666666666664</x:v>
      </x:c>
      <x:c r="Y15" s="8" t="n">
        <x:v>51.041666666666664</x:v>
      </x:c>
      <x:c r="Z15" s="8" t="n">
        <x:v>22.96875</x:v>
      </x:c>
      <x:c r="AA15" s="8" t="n">
        <x:v>28.072916666666668</x:v>
      </x:c>
      <x:c r="AB15" s="8" t="n">
        <x:v>51.04166666666667</x:v>
      </x:c>
      <x:c r="AC15" s="9" t="n">
        <x:v>0.23363067712891514</x:v>
      </x:c>
      <x:c r="AD15" t="str">
        <x:v>P/E above 30; 1Y return below 10%</x:v>
      </x:c>
      <x:c r="AE15" t="str">
        <x:v>False</x:v>
      </x:c>
      <x:c r="AF15" t="str">
        <x:v>https://finance.yahoo.com/quote/BAJFINANCE.NS</x:v>
      </x:c>
    </x:row>
    <x:row r="16">
      <x:c r="A16" t="str">
        <x:v>Bank of Baroda</x:v>
      </x:c>
      <x:c r="B16" t="str">
        <x:v>Financial Services</x:v>
      </x:c>
      <x:c r="C16" t="str">
        <x:v>BANKBARODA</x:v>
      </x:c>
      <x:c r="D16" t="str">
        <x:v>EQ</x:v>
      </x:c>
      <x:c r="E16" t="str">
        <x:v>INE028A01039</x:v>
      </x:c>
      <x:c r="F16" t="str">
        <x:v>BANKBARODA.NS</x:v>
      </x:c>
      <x:c r="G16" s="10" t="n">
        <x:v>281.04998779296875</x:v>
      </x:c>
      <x:c r="H16" s="6" t="n">
        <x:v>0.25244005911437495</x:v>
      </x:c>
      <x:c r="I16" s="6" t="n">
        <x:v>0.2653457014812464</x:v>
      </x:c>
      <x:c r="J16" s="6" t="n">
        <x:v>-0.23686238673575644</x:v>
      </x:c>
      <x:c r="K16" t="n">
        <x:v>250</x:v>
      </x:c>
      <x:c r="L16" t="str">
        <x:v>2025-06-19</x:v>
      </x:c>
      <x:c r="M16" t="str">
        <x:v>2026-06-19</x:v>
      </x:c>
      <x:c r="N16"/>
      <x:c r="O16" s="5" t="n">
        <x:v>7.322824</x:v>
      </x:c>
      <x:c r="P16" s="7" t="n">
        <x:v>1453411270656</x:v>
      </x:c>
      <x:c r="Q16" s="7" t="n">
        <x:v>145341.1270656</x:v>
      </x:c>
      <x:c r="R16" t="str">
        <x:v>Financial Services</x:v>
      </x:c>
      <x:c r="S16" t="str">
        <x:v>Banks - Regional</x:v>
      </x:c>
      <x:c r="T16" t="str">
        <x:v>INR</x:v>
      </x:c>
      <x:c r="U16"/>
      <x:c r="V16" t="str">
        <x:v>2026-06-19</x:v>
      </x:c>
      <x:c r="W16" t="str">
        <x:v>True</x:v>
      </x:c>
      <x:c r="X16" s="8" t="n">
        <x:v>92.70833333333334</x:v>
      </x:c>
      <x:c r="Y16" s="8" t="n">
        <x:v>76.04166666666666</x:v>
      </x:c>
      <x:c r="Z16" s="8" t="n">
        <x:v>41.71875000000001</x:v>
      </x:c>
      <x:c r="AA16" s="8" t="n">
        <x:v>41.822916666666664</x:v>
      </x:c>
      <x:c r="AB16" s="8" t="n">
        <x:v>83.54166666666667</x:v>
      </x:c>
      <x:c r="AC16" s="9" t="n">
        <x:v>0.9513629114968588</x:v>
      </x:c>
      <x:c r="AD16" t="str">
        <x:v>Passed all filters</x:v>
      </x:c>
      <x:c r="AE16" t="str">
        <x:v>True</x:v>
      </x:c>
      <x:c r="AF16" t="str">
        <x:v>https://finance.yahoo.com/quote/BANKBARODA.NS</x:v>
      </x:c>
    </x:row>
    <x:row r="17">
      <x:c r="A17" t="str">
        <x:v>Bharat Electronics Ltd.</x:v>
      </x:c>
      <x:c r="B17" t="str">
        <x:v>Capital Goods</x:v>
      </x:c>
      <x:c r="C17" t="str">
        <x:v>BEL</x:v>
      </x:c>
      <x:c r="D17" t="str">
        <x:v>EQ</x:v>
      </x:c>
      <x:c r="E17" t="str">
        <x:v>INE263A01024</x:v>
      </x:c>
      <x:c r="F17" t="str">
        <x:v>BEL.NS</x:v>
      </x:c>
      <x:c r="G17" s="10" t="n">
        <x:v>426.8999938964844</x:v>
      </x:c>
      <x:c r="H17" s="6" t="n">
        <x:v>0.07818840817081552</x:v>
      </x:c>
      <x:c r="I17" s="6" t="n">
        <x:v>0.25527927476070095</x:v>
      </x:c>
      <x:c r="J17" s="6" t="n">
        <x:v>-0.15628896900005051</x:v>
      </x:c>
      <x:c r="K17" t="n">
        <x:v>250</x:v>
      </x:c>
      <x:c r="L17" t="str">
        <x:v>2025-06-19</x:v>
      </x:c>
      <x:c r="M17" t="str">
        <x:v>2026-06-19</x:v>
      </x:c>
      <x:c r="N17"/>
      <x:c r="O17" s="5" t="n">
        <x:v>51.62031</x:v>
      </x:c>
      <x:c r="P17" s="7" t="n">
        <x:v>3120544612352</x:v>
      </x:c>
      <x:c r="Q17" s="7" t="n">
        <x:v>312054.4612352</x:v>
      </x:c>
      <x:c r="R17" t="str">
        <x:v>Industrials</x:v>
      </x:c>
      <x:c r="S17" t="str">
        <x:v>Aerospace &amp; Defense</x:v>
      </x:c>
      <x:c r="T17" t="str">
        <x:v>INR</x:v>
      </x:c>
      <x:c r="U17"/>
      <x:c r="V17" t="str">
        <x:v>2026-06-19</x:v>
      </x:c>
      <x:c r="W17" t="str">
        <x:v>True</x:v>
      </x:c>
      <x:c r="X17" s="8" t="n">
        <x:v>30.208333333333332</x:v>
      </x:c>
      <x:c r="Y17" s="8" t="n">
        <x:v>54.166666666666664</x:v>
      </x:c>
      <x:c r="Z17" s="8" t="n">
        <x:v>13.59375</x:v>
      </x:c>
      <x:c r="AA17" s="8" t="n">
        <x:v>29.791666666666668</x:v>
      </x:c>
      <x:c r="AB17" s="8" t="n">
        <x:v>43.38541666666667</x:v>
      </x:c>
      <x:c r="AC17" s="9" t="n">
        <x:v>0.3062857658308118</x:v>
      </x:c>
      <x:c r="AD17" t="str">
        <x:v>P/E above 30; 1Y return below 10%</x:v>
      </x:c>
      <x:c r="AE17" t="str">
        <x:v>False</x:v>
      </x:c>
      <x:c r="AF17" t="str">
        <x:v>https://finance.yahoo.com/quote/BEL.NS</x:v>
      </x:c>
    </x:row>
    <x:row r="18">
      <x:c r="A18" t="str">
        <x:v>Bharti Airtel Ltd.</x:v>
      </x:c>
      <x:c r="B18" t="str">
        <x:v>Telecommunication</x:v>
      </x:c>
      <x:c r="C18" t="str">
        <x:v>BHARTIARTL</x:v>
      </x:c>
      <x:c r="D18" t="str">
        <x:v>EQ</x:v>
      </x:c>
      <x:c r="E18" t="str">
        <x:v>INE397D01024</x:v>
      </x:c>
      <x:c r="F18" t="str">
        <x:v>BHARTIARTL.NS</x:v>
      </x:c>
      <x:c r="G18" s="10" t="n">
        <x:v>1910.800048828125</x:v>
      </x:c>
      <x:c r="H18" s="6" t="n">
        <x:v>0.026517904072456355</x:v>
      </x:c>
      <x:c r="I18" s="6" t="n">
        <x:v>0.1970203173746758</x:v>
      </x:c>
      <x:c r="J18" s="6" t="n">
        <x:v>-0.18768202316914562</x:v>
      </x:c>
      <x:c r="K18" t="n">
        <x:v>250</x:v>
      </x:c>
      <x:c r="L18" t="str">
        <x:v>2025-06-19</x:v>
      </x:c>
      <x:c r="M18" t="str">
        <x:v>2026-06-19</x:v>
      </x:c>
      <x:c r="N18"/>
      <x:c r="O18" s="5" t="n">
        <x:v>43.14292</x:v>
      </x:c>
      <x:c r="P18" s="7" t="n">
        <x:v>11639584718848</x:v>
      </x:c>
      <x:c r="Q18" s="7" t="n">
        <x:v>1163958.4718848</x:v>
      </x:c>
      <x:c r="R18" t="str">
        <x:v>Communication Services</x:v>
      </x:c>
      <x:c r="S18" t="str">
        <x:v>Telecom Services</x:v>
      </x:c>
      <x:c r="T18" t="str">
        <x:v>INR</x:v>
      </x:c>
      <x:c r="U18"/>
      <x:c r="V18" t="str">
        <x:v>2026-06-19</x:v>
      </x:c>
      <x:c r="W18" t="str">
        <x:v>True</x:v>
      </x:c>
      <x:c r="X18" s="8" t="n">
        <x:v>34.375</x:v>
      </x:c>
      <x:c r="Y18" s="8" t="n">
        <x:v>40.625</x:v>
      </x:c>
      <x:c r="Z18" s="8" t="n">
        <x:v>15.46875</x:v>
      </x:c>
      <x:c r="AA18" s="8" t="n">
        <x:v>22.343750000000004</x:v>
      </x:c>
      <x:c r="AB18" s="8" t="n">
        <x:v>37.8125</x:v>
      </x:c>
      <x:c r="AC18" s="9" t="n">
        <x:v>0.13459476883303845</x:v>
      </x:c>
      <x:c r="AD18" t="str">
        <x:v>P/E above 30; 1Y return below 10%</x:v>
      </x:c>
      <x:c r="AE18" t="str">
        <x:v>False</x:v>
      </x:c>
      <x:c r="AF18" t="str">
        <x:v>https://finance.yahoo.com/quote/BHARTIARTL.NS</x:v>
      </x:c>
    </x:row>
    <x:row r="19">
      <x:c r="A19" t="str">
        <x:v>Bosch Ltd.</x:v>
      </x:c>
      <x:c r="B19" t="str">
        <x:v>Automobile and Auto Components</x:v>
      </x:c>
      <x:c r="C19" t="str">
        <x:v>BOSCHLTD</x:v>
      </x:c>
      <x:c r="D19" t="str">
        <x:v>EQ</x:v>
      </x:c>
      <x:c r="E19" t="str">
        <x:v>INE323A01026</x:v>
      </x:c>
      <x:c r="F19" t="str">
        <x:v>BOSCHLTD.NS</x:v>
      </x:c>
      <x:c r="G19" s="10" t="n">
        <x:v>40195</x:v>
      </x:c>
      <x:c r="H19" s="6" t="n">
        <x:v>0.25839548314446237</x:v>
      </x:c>
      <x:c r="I19" s="6" t="n">
        <x:v>0.2948356027862888</x:v>
      </x:c>
      <x:c r="J19" s="6" t="n">
        <x:v>-0.3072659356548981</x:v>
      </x:c>
      <x:c r="K19" t="n">
        <x:v>249</x:v>
      </x:c>
      <x:c r="L19" t="str">
        <x:v>2025-06-19</x:v>
      </x:c>
      <x:c r="M19" t="str">
        <x:v>2026-06-19</x:v>
      </x:c>
      <x:c r="N19"/>
      <x:c r="O19" s="5" t="n">
        <x:v>42.716106</x:v>
      </x:c>
      <x:c r="P19" s="7" t="n">
        <x:v>1185595785216</x:v>
      </x:c>
      <x:c r="Q19" s="7" t="n">
        <x:v>118559.5785216</x:v>
      </x:c>
      <x:c r="R19" t="str">
        <x:v>Consumer Cyclical</x:v>
      </x:c>
      <x:c r="S19" t="str">
        <x:v>Auto Parts</x:v>
      </x:c>
      <x:c r="T19" t="str">
        <x:v>INR</x:v>
      </x:c>
      <x:c r="U19"/>
      <x:c r="V19" t="str">
        <x:v>2026-06-19</x:v>
      </x:c>
      <x:c r="W19" t="str">
        <x:v>True</x:v>
      </x:c>
      <x:c r="X19" s="8" t="n">
        <x:v>36.45833333333333</x:v>
      </x:c>
      <x:c r="Y19" s="8" t="n">
        <x:v>79.16666666666666</x:v>
      </x:c>
      <x:c r="Z19" s="8" t="n">
        <x:v>16.40625</x:v>
      </x:c>
      <x:c r="AA19" s="8" t="n">
        <x:v>43.541666666666664</x:v>
      </x:c>
      <x:c r="AB19" s="8" t="n">
        <x:v>59.947916666666664</x:v>
      </x:c>
      <x:c r="AC19" s="9" t="n">
        <x:v>0.8764052940097604</x:v>
      </x:c>
      <x:c r="AD19" t="str">
        <x:v>P/E above 30</x:v>
      </x:c>
      <x:c r="AE19" t="str">
        <x:v>False</x:v>
      </x:c>
      <x:c r="AF19" t="str">
        <x:v>https://finance.yahoo.com/quote/BOSCHLTD.NS</x:v>
      </x:c>
    </x:row>
    <x:row r="20">
      <x:c r="A20" t="str">
        <x:v>Bharat Petroleum Corporation Ltd.</x:v>
      </x:c>
      <x:c r="B20" t="str">
        <x:v>Oil Gas &amp; Consumable Fuels</x:v>
      </x:c>
      <x:c r="C20" t="str">
        <x:v>BPCL</x:v>
      </x:c>
      <x:c r="D20" t="str">
        <x:v>EQ</x:v>
      </x:c>
      <x:c r="E20" t="str">
        <x:v>INE029A01011</x:v>
      </x:c>
      <x:c r="F20" t="str">
        <x:v>BPCL.NS</x:v>
      </x:c>
      <x:c r="G20" s="10" t="n">
        <x:v>306.6000061035156</x:v>
      </x:c>
      <x:c r="H20" s="6" t="n">
        <x:v>0.0421249344306831</x:v>
      </x:c>
      <x:c r="I20" s="6" t="n">
        <x:v>0.2937684792390774</x:v>
      </x:c>
      <x:c r="J20" s="6" t="n">
        <x:v>-0.30131342693315066</x:v>
      </x:c>
      <x:c r="K20" t="n">
        <x:v>250</x:v>
      </x:c>
      <x:c r="L20" t="str">
        <x:v>2025-06-19</x:v>
      </x:c>
      <x:c r="M20" t="str">
        <x:v>2026-06-19</x:v>
      </x:c>
      <x:c r="N20"/>
      <x:c r="O20" s="5" t="n">
        <x:v>5.0694447</x:v>
      </x:c>
      <x:c r="P20" s="7" t="n">
        <x:v>1309974593536</x:v>
      </x:c>
      <x:c r="Q20" s="7" t="n">
        <x:v>130997.4593536</x:v>
      </x:c>
      <x:c r="R20" t="str">
        <x:v>Energy</x:v>
      </x:c>
      <x:c r="S20" t="str">
        <x:v>Oil &amp; Gas Refining &amp; Marketing</x:v>
      </x:c>
      <x:c r="T20" t="str">
        <x:v>INR</x:v>
      </x:c>
      <x:c r="U20"/>
      <x:c r="V20" t="str">
        <x:v>2026-06-19</x:v>
      </x:c>
      <x:c r="W20" t="str">
        <x:v>True</x:v>
      </x:c>
      <x:c r="X20" s="8" t="n">
        <x:v>98.95833333333334</x:v>
      </x:c>
      <x:c r="Y20" s="8" t="n">
        <x:v>43.75</x:v>
      </x:c>
      <x:c r="Z20" s="8" t="n">
        <x:v>44.53125000000001</x:v>
      </x:c>
      <x:c r="AA20" s="8" t="n">
        <x:v>24.062500000000004</x:v>
      </x:c>
      <x:c r="AB20" s="8" t="n">
        <x:v>68.59375000000001</x:v>
      </x:c>
      <x:c r="AC20" s="9" t="n">
        <x:v>0.14339501140420377</x:v>
      </x:c>
      <x:c r="AD20" t="str">
        <x:v>1Y return below 10%</x:v>
      </x:c>
      <x:c r="AE20" t="str">
        <x:v>False</x:v>
      </x:c>
      <x:c r="AF20" t="str">
        <x:v>https://finance.yahoo.com/quote/BPCL.NS</x:v>
      </x:c>
    </x:row>
    <x:row r="21">
      <x:c r="A21" t="str">
        <x:v>Britannia Industries Ltd.</x:v>
      </x:c>
      <x:c r="B21" t="str">
        <x:v>Fast Moving Consumer Goods</x:v>
      </x:c>
      <x:c r="C21" t="str">
        <x:v>BRITANNIA</x:v>
      </x:c>
      <x:c r="D21" t="str">
        <x:v>EQ</x:v>
      </x:c>
      <x:c r="E21" t="str">
        <x:v>INE216A01030</x:v>
      </x:c>
      <x:c r="F21" t="str">
        <x:v>BRITANNIA.NS</x:v>
      </x:c>
      <x:c r="G21" s="10" t="n">
        <x:v>5195</x:v>
      </x:c>
      <x:c r="H21" s="6" t="n">
        <x:v>-0.053062148670709464</x:v>
      </x:c>
      <x:c r="I21" s="6" t="n">
        <x:v>0.2021287841420353</x:v>
      </x:c>
      <x:c r="J21" s="6" t="n">
        <x:v>-0.19625426553448144</x:v>
      </x:c>
      <x:c r="K21" t="n">
        <x:v>250</x:v>
      </x:c>
      <x:c r="L21" t="str">
        <x:v>2025-06-19</x:v>
      </x:c>
      <x:c r="M21" t="str">
        <x:v>2026-06-19</x:v>
      </x:c>
      <x:c r="N21"/>
      <x:c r="O21" s="5" t="n">
        <x:v>49.293102</x:v>
      </x:c>
      <x:c r="P21" s="7" t="n">
        <x:v>1251310698496</x:v>
      </x:c>
      <x:c r="Q21" s="7" t="n">
        <x:v>125131.0698496</x:v>
      </x:c>
      <x:c r="R21" t="str">
        <x:v>Consumer Defensive</x:v>
      </x:c>
      <x:c r="S21" t="str">
        <x:v>Packaged Foods</x:v>
      </x:c>
      <x:c r="T21" t="str">
        <x:v>INR</x:v>
      </x:c>
      <x:c r="U21"/>
      <x:c r="V21" t="str">
        <x:v>2026-06-19</x:v>
      </x:c>
      <x:c r="W21" t="str">
        <x:v>True</x:v>
      </x:c>
      <x:c r="X21" s="8" t="n">
        <x:v>32.29166666666667</x:v>
      </x:c>
      <x:c r="Y21" s="8" t="n">
        <x:v>29.166666666666668</x:v>
      </x:c>
      <x:c r="Z21" s="8" t="n">
        <x:v>14.531250000000002</x:v>
      </x:c>
      <x:c r="AA21" s="8" t="n">
        <x:v>16.041666666666668</x:v>
      </x:c>
      <x:c r="AB21" s="8" t="n">
        <x:v>30.57291666666667</x:v>
      </x:c>
      <x:c r="AC21" s="9" t="n">
        <x:v>-0.26251653813651227</x:v>
      </x:c>
      <x:c r="AD21" t="str">
        <x:v>P/E above 30; 1Y return below 10%</x:v>
      </x:c>
      <x:c r="AE21" t="str">
        <x:v>False</x:v>
      </x:c>
      <x:c r="AF21" t="str">
        <x:v>https://finance.yahoo.com/quote/BRITANNIA.NS</x:v>
      </x:c>
    </x:row>
    <x:row r="22">
      <x:c r="A22" t="str">
        <x:v>Canara Bank</x:v>
      </x:c>
      <x:c r="B22" t="str">
        <x:v>Financial Services</x:v>
      </x:c>
      <x:c r="C22" t="str">
        <x:v>CANBK</x:v>
      </x:c>
      <x:c r="D22" t="str">
        <x:v>EQ</x:v>
      </x:c>
      <x:c r="E22" t="str">
        <x:v>INE476A01022</x:v>
      </x:c>
      <x:c r="F22" t="str">
        <x:v>CANBK.NS</x:v>
      </x:c>
      <x:c r="G22" s="10" t="n">
        <x:v>133.74000549316406</x:v>
      </x:c>
      <x:c r="H22" s="6" t="n">
        <x:v>0.31711120448078245</x:v>
      </x:c>
      <x:c r="I22" s="6" t="n">
        <x:v>0.290453867106958</x:v>
      </x:c>
      <x:c r="J22" s="6" t="n">
        <x:v>-0.22324293713589782</x:v>
      </x:c>
      <x:c r="K22" t="n">
        <x:v>250</x:v>
      </x:c>
      <x:c r="L22" t="str">
        <x:v>2025-06-19</x:v>
      </x:c>
      <x:c r="M22" t="str">
        <x:v>2026-06-19</x:v>
      </x:c>
      <x:c r="N22"/>
      <x:c r="O22" s="5" t="n">
        <x:v>6.1546254</x:v>
      </x:c>
      <x:c r="P22" s="7" t="n">
        <x:v>1213108977664</x:v>
      </x:c>
      <x:c r="Q22" s="7" t="n">
        <x:v>121310.8977664</x:v>
      </x:c>
      <x:c r="R22" t="str">
        <x:v>Financial Services</x:v>
      </x:c>
      <x:c r="S22" t="str">
        <x:v>Banks - Regional</x:v>
      </x:c>
      <x:c r="T22" t="str">
        <x:v>INR</x:v>
      </x:c>
      <x:c r="U22"/>
      <x:c r="V22" t="str">
        <x:v>2026-06-19</x:v>
      </x:c>
      <x:c r="W22" t="str">
        <x:v>True</x:v>
      </x:c>
      <x:c r="X22" s="8" t="n">
        <x:v>95.83333333333334</x:v>
      </x:c>
      <x:c r="Y22" s="8" t="n">
        <x:v>85.41666666666666</x:v>
      </x:c>
      <x:c r="Z22" s="8" t="n">
        <x:v>43.12500000000001</x:v>
      </x:c>
      <x:c r="AA22" s="8" t="n">
        <x:v>46.979166666666664</x:v>
      </x:c>
      <x:c r="AB22" s="8" t="n">
        <x:v>90.10416666666667</x:v>
      </x:c>
      <x:c r="AC22" s="9" t="n">
        <x:v>1.0917782146932409</x:v>
      </x:c>
      <x:c r="AD22" t="str">
        <x:v>Passed all filters</x:v>
      </x:c>
      <x:c r="AE22" t="str">
        <x:v>True</x:v>
      </x:c>
      <x:c r="AF22" t="str">
        <x:v>https://finance.yahoo.com/quote/CANBK.NS</x:v>
      </x:c>
    </x:row>
    <x:row r="23">
      <x:c r="A23" t="str">
        <x:v>CG Power and Industrial Solutions Ltd.</x:v>
      </x:c>
      <x:c r="B23" t="str">
        <x:v>Capital Goods</x:v>
      </x:c>
      <x:c r="C23" t="str">
        <x:v>CGPOWER</x:v>
      </x:c>
      <x:c r="D23" t="str">
        <x:v>EQ</x:v>
      </x:c>
      <x:c r="E23" t="str">
        <x:v>INE067A01029</x:v>
      </x:c>
      <x:c r="F23" t="str">
        <x:v>CGPOWER.NS</x:v>
      </x:c>
      <x:c r="G23" s="10" t="n">
        <x:v>963.7000122070312</x:v>
      </x:c>
      <x:c r="H23" s="6" t="n">
        <x:v>0.4486680942388479</x:v>
      </x:c>
      <x:c r="I23" s="6" t="n">
        <x:v>0.31427387607303064</x:v>
      </x:c>
      <x:c r="J23" s="6" t="n">
        <x:v>-0.33015652057888845</x:v>
      </x:c>
      <x:c r="K23" t="n">
        <x:v>250</x:v>
      </x:c>
      <x:c r="L23" t="str">
        <x:v>2025-06-19</x:v>
      </x:c>
      <x:c r="M23" t="str">
        <x:v>2026-06-19</x:v>
      </x:c>
      <x:c r="N23"/>
      <x:c r="O23" s="5" t="n">
        <x:v>124.993515</x:v>
      </x:c>
      <x:c r="P23" s="7" t="n">
        <x:v>1517807468544</x:v>
      </x:c>
      <x:c r="Q23" s="7" t="n">
        <x:v>151780.7468544</x:v>
      </x:c>
      <x:c r="R23" t="str">
        <x:v>Industrials</x:v>
      </x:c>
      <x:c r="S23" t="str">
        <x:v>Electrical Equipment &amp; Parts</x:v>
      </x:c>
      <x:c r="T23" t="str">
        <x:v>INR</x:v>
      </x:c>
      <x:c r="U23"/>
      <x:c r="V23" t="str">
        <x:v>2026-06-19</x:v>
      </x:c>
      <x:c r="W23" t="str">
        <x:v>True</x:v>
      </x:c>
      <x:c r="X23" s="8" t="n">
        <x:v>3.125</x:v>
      </x:c>
      <x:c r="Y23" s="8" t="n">
        <x:v>92.70833333333334</x:v>
      </x:c>
      <x:c r="Z23" s="8" t="n">
        <x:v>1.40625</x:v>
      </x:c>
      <x:c r="AA23" s="8" t="n">
        <x:v>50.98958333333334</x:v>
      </x:c>
      <x:c r="AB23" s="8" t="n">
        <x:v>52.39583333333334</x:v>
      </x:c>
      <x:c r="AC23" s="9" t="n">
        <x:v>1.4276340746011829</x:v>
      </x:c>
      <x:c r="AD23" t="str">
        <x:v>P/E above 30</x:v>
      </x:c>
      <x:c r="AE23" t="str">
        <x:v>False</x:v>
      </x:c>
      <x:c r="AF23" t="str">
        <x:v>https://finance.yahoo.com/quote/CGPOWER.NS</x:v>
      </x:c>
    </x:row>
    <x:row r="24">
      <x:c r="A24" t="str">
        <x:v>Cholamandalam Investment and Finance Company Ltd.</x:v>
      </x:c>
      <x:c r="B24" t="str">
        <x:v>Financial Services</x:v>
      </x:c>
      <x:c r="C24" t="str">
        <x:v>CHOLAFIN</x:v>
      </x:c>
      <x:c r="D24" t="str">
        <x:v>EQ</x:v>
      </x:c>
      <x:c r="E24" t="str">
        <x:v>INE121A01024</x:v>
      </x:c>
      <x:c r="F24" t="str">
        <x:v>CHOLAFIN.NS</x:v>
      </x:c>
      <x:c r="G24" s="10" t="n">
        <x:v>1693.4000244140625</x:v>
      </x:c>
      <x:c r="H24" s="6" t="n">
        <x:v>0.09779146783588577</x:v>
      </x:c>
      <x:c r="I24" s="6" t="n">
        <x:v>0.3243616864993147</x:v>
      </x:c>
      <x:c r="J24" s="6" t="n">
        <x:v>-0.24907881460342074</x:v>
      </x:c>
      <x:c r="K24" t="n">
        <x:v>250</x:v>
      </x:c>
      <x:c r="L24" t="str">
        <x:v>2025-06-19</x:v>
      </x:c>
      <x:c r="M24" t="str">
        <x:v>2026-06-19</x:v>
      </x:c>
      <x:c r="N24"/>
      <x:c r="O24" s="5" t="n">
        <x:v>27.383572</x:v>
      </x:c>
      <x:c r="P24" s="7" t="n">
        <x:v>1443604070400</x:v>
      </x:c>
      <x:c r="Q24" s="7" t="n">
        <x:v>144360.40704</x:v>
      </x:c>
      <x:c r="R24" t="str">
        <x:v>Financial Services</x:v>
      </x:c>
      <x:c r="S24" t="str">
        <x:v>Credit Services</x:v>
      </x:c>
      <x:c r="T24" t="str">
        <x:v>INR</x:v>
      </x:c>
      <x:c r="U24"/>
      <x:c r="V24" t="str">
        <x:v>2026-06-19</x:v>
      </x:c>
      <x:c r="W24" t="str">
        <x:v>True</x:v>
      </x:c>
      <x:c r="X24" s="8" t="n">
        <x:v>57.291666666666664</x:v>
      </x:c>
      <x:c r="Y24" s="8" t="n">
        <x:v>55.208333333333336</x:v>
      </x:c>
      <x:c r="Z24" s="8" t="n">
        <x:v>25.78125</x:v>
      </x:c>
      <x:c r="AA24" s="8" t="n">
        <x:v>30.364583333333336</x:v>
      </x:c>
      <x:c r="AB24" s="8" t="n">
        <x:v>56.145833333333336</x:v>
      </x:c>
      <x:c r="AC24" s="9" t="n">
        <x:v>0.30148896095375427</x:v>
      </x:c>
      <x:c r="AD24" t="str">
        <x:v>1Y return below 10%</x:v>
      </x:c>
      <x:c r="AE24" t="str">
        <x:v>False</x:v>
      </x:c>
      <x:c r="AF24" t="str">
        <x:v>https://finance.yahoo.com/quote/CHOLAFIN.NS</x:v>
      </x:c>
    </x:row>
    <x:row r="25">
      <x:c r="A25" t="str">
        <x:v>Cipla Ltd.</x:v>
      </x:c>
      <x:c r="B25" t="str">
        <x:v>Healthcare</x:v>
      </x:c>
      <x:c r="C25" t="str">
        <x:v>CIPLA</x:v>
      </x:c>
      <x:c r="D25" t="str">
        <x:v>EQ</x:v>
      </x:c>
      <x:c r="E25" t="str">
        <x:v>INE059A01026</x:v>
      </x:c>
      <x:c r="F25" t="str">
        <x:v>CIPLA.NS</x:v>
      </x:c>
      <x:c r="G25" s="10" t="n">
        <x:v>1351.800048828125</x:v>
      </x:c>
      <x:c r="H25" s="6" t="n">
        <x:v>-0.07071566068251289</x:v>
      </x:c>
      <x:c r="I25" s="6" t="n">
        <x:v>0.20949899246918427</x:v>
      </x:c>
      <x:c r="J25" s="6" t="n">
        <x:v>-0.28324111920220096</x:v>
      </x:c>
      <x:c r="K25" t="n">
        <x:v>250</x:v>
      </x:c>
      <x:c r="L25" t="str">
        <x:v>2025-06-19</x:v>
      </x:c>
      <x:c r="M25" t="str">
        <x:v>2026-06-19</x:v>
      </x:c>
      <x:c r="N25"/>
      <x:c r="O25" s="5" t="n">
        <x:v>28.12734</x:v>
      </x:c>
      <x:c r="P25" s="7" t="n">
        <x:v>1092045307904</x:v>
      </x:c>
      <x:c r="Q25" s="7" t="n">
        <x:v>109204.5307904</x:v>
      </x:c>
      <x:c r="R25" t="str">
        <x:v>Healthcare</x:v>
      </x:c>
      <x:c r="S25" t="str">
        <x:v>Drug Manufacturers - Specialty &amp; Generic</x:v>
      </x:c>
      <x:c r="T25" t="str">
        <x:v>INR</x:v>
      </x:c>
      <x:c r="U25"/>
      <x:c r="V25" t="str">
        <x:v>2026-06-19</x:v>
      </x:c>
      <x:c r="W25" t="str">
        <x:v>True</x:v>
      </x:c>
      <x:c r="X25" s="8" t="n">
        <x:v>56.25</x:v>
      </x:c>
      <x:c r="Y25" s="8" t="n">
        <x:v>26.041666666666668</x:v>
      </x:c>
      <x:c r="Z25" s="8" t="n">
        <x:v>25.3125</x:v>
      </x:c>
      <x:c r="AA25" s="8" t="n">
        <x:v>14.322916666666668</x:v>
      </x:c>
      <x:c r="AB25" s="8" t="n">
        <x:v>39.63541666666667</x:v>
      </x:c>
      <x:c r="AC25" s="9" t="n">
        <x:v>-0.33754654305993687</x:v>
      </x:c>
      <x:c r="AD25" t="str">
        <x:v>1Y return below 10%</x:v>
      </x:c>
      <x:c r="AE25" t="str">
        <x:v>False</x:v>
      </x:c>
      <x:c r="AF25" t="str">
        <x:v>https://finance.yahoo.com/quote/CIPLA.NS</x:v>
      </x:c>
    </x:row>
    <x:row r="26">
      <x:c r="A26" t="str">
        <x:v>Coal India Ltd.</x:v>
      </x:c>
      <x:c r="B26" t="str">
        <x:v>Oil Gas &amp; Consumable Fuels</x:v>
      </x:c>
      <x:c r="C26" t="str">
        <x:v>COALINDIA</x:v>
      </x:c>
      <x:c r="D26" t="str">
        <x:v>EQ</x:v>
      </x:c>
      <x:c r="E26" t="str">
        <x:v>INE522F01014</x:v>
      </x:c>
      <x:c r="F26" t="str">
        <x:v>COALINDIA.NS</x:v>
      </x:c>
      <x:c r="G26" s="10" t="n">
        <x:v>451.29998779296875</x:v>
      </x:c>
      <x:c r="H26" s="6" t="n">
        <x:v>0.2570686211889561</x:v>
      </x:c>
      <x:c r="I26" s="6" t="n">
        <x:v>0.220628425223922</x:v>
      </x:c>
      <x:c r="J26" s="6" t="n">
        <x:v>-0.10268780399439048</x:v>
      </x:c>
      <x:c r="K26" t="n">
        <x:v>250</x:v>
      </x:c>
      <x:c r="L26" t="str">
        <x:v>2025-06-19</x:v>
      </x:c>
      <x:c r="M26" t="str">
        <x:v>2026-06-19</x:v>
      </x:c>
      <x:c r="N26"/>
      <x:c r="O26" s="5" t="n">
        <x:v>8.943718</x:v>
      </x:c>
      <x:c r="P26" s="7" t="n">
        <x:v>2781239312384</x:v>
      </x:c>
      <x:c r="Q26" s="7" t="n">
        <x:v>278123.9312384</x:v>
      </x:c>
      <x:c r="R26" t="str">
        <x:v>Energy</x:v>
      </x:c>
      <x:c r="S26" t="str">
        <x:v>Thermal Coal</x:v>
      </x:c>
      <x:c r="T26" t="str">
        <x:v>INR</x:v>
      </x:c>
      <x:c r="U26"/>
      <x:c r="V26" t="str">
        <x:v>2026-06-19</x:v>
      </x:c>
      <x:c r="W26" t="str">
        <x:v>True</x:v>
      </x:c>
      <x:c r="X26" s="8" t="n">
        <x:v>90.625</x:v>
      </x:c>
      <x:c r="Y26" s="8" t="n">
        <x:v>78.125</x:v>
      </x:c>
      <x:c r="Z26" s="8" t="n">
        <x:v>40.78125</x:v>
      </x:c>
      <x:c r="AA26" s="8" t="n">
        <x:v>42.96875</x:v>
      </x:c>
      <x:c r="AB26" s="8" t="n">
        <x:v>83.75</x:v>
      </x:c>
      <x:c r="AC26" s="9" t="n">
        <x:v>1.1651654628276022</x:v>
      </x:c>
      <x:c r="AD26" t="str">
        <x:v>Passed all filters</x:v>
      </x:c>
      <x:c r="AE26" t="str">
        <x:v>True</x:v>
      </x:c>
      <x:c r="AF26" t="str">
        <x:v>https://finance.yahoo.com/quote/COALINDIA.NS</x:v>
      </x:c>
    </x:row>
    <x:row r="27">
      <x:c r="A27" t="str">
        <x:v>Cummins India Ltd.</x:v>
      </x:c>
      <x:c r="B27" t="str">
        <x:v>Capital Goods</x:v>
      </x:c>
      <x:c r="C27" t="str">
        <x:v>CUMMINSIND</x:v>
      </x:c>
      <x:c r="D27" t="str">
        <x:v>EQ</x:v>
      </x:c>
      <x:c r="E27" t="str">
        <x:v>INE298A01020</x:v>
      </x:c>
      <x:c r="F27" t="str">
        <x:v>CUMMINSIND.NS</x:v>
      </x:c>
      <x:c r="G27" s="10" t="n">
        <x:v>5865</x:v>
      </x:c>
      <x:c r="H27" s="6" t="n">
        <x:v>0.8371008252601364</x:v>
      </x:c>
      <x:c r="I27" s="6" t="n">
        <x:v>0.27289656122781175</x:v>
      </x:c>
      <x:c r="J27" s="6" t="n">
        <x:v>-0.1460589275714278</x:v>
      </x:c>
      <x:c r="K27" t="n">
        <x:v>250</x:v>
      </x:c>
      <x:c r="L27" t="str">
        <x:v>2025-06-19</x:v>
      </x:c>
      <x:c r="M27" t="str">
        <x:v>2026-06-19</x:v>
      </x:c>
      <x:c r="N27"/>
      <x:c r="O27" s="5" t="n">
        <x:v>68.77345</x:v>
      </x:c>
      <x:c r="P27" s="7" t="n">
        <x:v>1625778028544</x:v>
      </x:c>
      <x:c r="Q27" s="7" t="n">
        <x:v>162577.8028544</x:v>
      </x:c>
      <x:c r="R27" t="str">
        <x:v>Industrials</x:v>
      </x:c>
      <x:c r="S27" t="str">
        <x:v>Specialty Industrial Machinery</x:v>
      </x:c>
      <x:c r="T27" t="str">
        <x:v>INR</x:v>
      </x:c>
      <x:c r="U27"/>
      <x:c r="V27" t="str">
        <x:v>2026-06-19</x:v>
      </x:c>
      <x:c r="W27" t="str">
        <x:v>True</x:v>
      </x:c>
      <x:c r="X27" s="8" t="n">
        <x:v>19.791666666666664</x:v>
      </x:c>
      <x:c r="Y27" s="8" t="n">
        <x:v>98.95833333333334</x:v>
      </x:c>
      <x:c r="Z27" s="8" t="n">
        <x:v>8.90625</x:v>
      </x:c>
      <x:c r="AA27" s="8" t="n">
        <x:v>54.42708333333334</x:v>
      </x:c>
      <x:c r="AB27" s="8" t="n">
        <x:v>63.33333333333334</x:v>
      </x:c>
      <x:c r="AC27" s="9" t="n">
        <x:v>3.0674656415378267</x:v>
      </x:c>
      <x:c r="AD27" t="str">
        <x:v>P/E above 30</x:v>
      </x:c>
      <x:c r="AE27" t="str">
        <x:v>False</x:v>
      </x:c>
      <x:c r="AF27" t="str">
        <x:v>https://finance.yahoo.com/quote/CUMMINSIND.NS</x:v>
      </x:c>
    </x:row>
    <x:row r="28">
      <x:c r="A28" t="str">
        <x:v>Divi's Laboratories Ltd.</x:v>
      </x:c>
      <x:c r="B28" t="str">
        <x:v>Healthcare</x:v>
      </x:c>
      <x:c r="C28" t="str">
        <x:v>DIVISLAB</x:v>
      </x:c>
      <x:c r="D28" t="str">
        <x:v>EQ</x:v>
      </x:c>
      <x:c r="E28" t="str">
        <x:v>INE361B01024</x:v>
      </x:c>
      <x:c r="F28" t="str">
        <x:v>DIVISLAB.NS</x:v>
      </x:c>
      <x:c r="G28" s="10" t="n">
        <x:v>6743</x:v>
      </x:c>
      <x:c r="H28" s="6" t="n">
        <x:v>0.04323171284004723</x:v>
      </x:c>
      <x:c r="I28" s="6" t="n">
        <x:v>0.22158213010083394</x:v>
      </x:c>
      <x:c r="J28" s="6" t="n">
        <x:v>-0.18158425215875396</x:v>
      </x:c>
      <x:c r="K28" t="n">
        <x:v>249</x:v>
      </x:c>
      <x:c r="L28" t="str">
        <x:v>2025-06-19</x:v>
      </x:c>
      <x:c r="M28" t="str">
        <x:v>2026-06-19</x:v>
      </x:c>
      <x:c r="N28"/>
      <x:c r="O28" s="5" t="n">
        <x:v>69.75998</x:v>
      </x:c>
      <x:c r="P28" s="7" t="n">
        <x:v>1790054629376</x:v>
      </x:c>
      <x:c r="Q28" s="7" t="n">
        <x:v>179005.4629376</x:v>
      </x:c>
      <x:c r="R28" t="str">
        <x:v>Healthcare</x:v>
      </x:c>
      <x:c r="S28" t="str">
        <x:v>Drug Manufacturers - Specialty &amp; Generic</x:v>
      </x:c>
      <x:c r="T28" t="str">
        <x:v>INR</x:v>
      </x:c>
      <x:c r="U28"/>
      <x:c r="V28" t="str">
        <x:v>2026-06-19</x:v>
      </x:c>
      <x:c r="W28" t="str">
        <x:v>True</x:v>
      </x:c>
      <x:c r="X28" s="8" t="n">
        <x:v>17.708333333333336</x:v>
      </x:c>
      <x:c r="Y28" s="8" t="n">
        <x:v>44.79166666666667</x:v>
      </x:c>
      <x:c r="Z28" s="8" t="n">
        <x:v>7.968750000000001</x:v>
      </x:c>
      <x:c r="AA28" s="8" t="n">
        <x:v>24.63541666666667</x:v>
      </x:c>
      <x:c r="AB28" s="8" t="n">
        <x:v>32.60416666666667</x:v>
      </x:c>
      <x:c r="AC28" s="9" t="n">
        <x:v>0.19510469016781298</x:v>
      </x:c>
      <x:c r="AD28" t="str">
        <x:v>P/E above 30; 1Y return below 10%</x:v>
      </x:c>
      <x:c r="AE28" t="str">
        <x:v>False</x:v>
      </x:c>
      <x:c r="AF28" t="str">
        <x:v>https://finance.yahoo.com/quote/DIVISLAB.NS</x:v>
      </x:c>
    </x:row>
    <x:row r="29">
      <x:c r="A29" t="str">
        <x:v>DLF Ltd.</x:v>
      </x:c>
      <x:c r="B29" t="str">
        <x:v>Realty</x:v>
      </x:c>
      <x:c r="C29" t="str">
        <x:v>DLF</x:v>
      </x:c>
      <x:c r="D29" t="str">
        <x:v>EQ</x:v>
      </x:c>
      <x:c r="E29" t="str">
        <x:v>INE271C01023</x:v>
      </x:c>
      <x:c r="F29" t="str">
        <x:v>DLF.NS</x:v>
      </x:c>
      <x:c r="G29" s="10" t="n">
        <x:v>624.5</x:v>
      </x:c>
      <x:c r="H29" s="6" t="n">
        <x:v>-0.25102056950442864</x:v>
      </x:c>
      <x:c r="I29" s="6" t="n">
        <x:v>0.2773093156339625</x:v>
      </x:c>
      <x:c r="J29" s="6" t="n">
        <x:v>-0.40564498678003624</x:v>
      </x:c>
      <x:c r="K29" t="n">
        <x:v>250</x:v>
      </x:c>
      <x:c r="L29" t="str">
        <x:v>2025-06-19</x:v>
      </x:c>
      <x:c r="M29" t="str">
        <x:v>2026-06-19</x:v>
      </x:c>
      <x:c r="N29"/>
      <x:c r="O29" s="5" t="n">
        <x:v>35.06457</x:v>
      </x:c>
      <x:c r="P29" s="7" t="n">
        <x:v>1545832103936</x:v>
      </x:c>
      <x:c r="Q29" s="7" t="n">
        <x:v>154583.2103936</x:v>
      </x:c>
      <x:c r="R29" t="str">
        <x:v>Real Estate</x:v>
      </x:c>
      <x:c r="S29" t="str">
        <x:v>Real Estate - Development</x:v>
      </x:c>
      <x:c r="T29" t="str">
        <x:v>INR</x:v>
      </x:c>
      <x:c r="U29"/>
      <x:c r="V29" t="str">
        <x:v>2026-06-19</x:v>
      </x:c>
      <x:c r="W29" t="str">
        <x:v>True</x:v>
      </x:c>
      <x:c r="X29" s="8" t="n">
        <x:v>45.83333333333333</x:v>
      </x:c>
      <x:c r="Y29" s="8" t="n">
        <x:v>10.416666666666668</x:v>
      </x:c>
      <x:c r="Z29" s="8" t="n">
        <x:v>20.625</x:v>
      </x:c>
      <x:c r="AA29" s="8" t="n">
        <x:v>5.729166666666668</x:v>
      </x:c>
      <x:c r="AB29" s="8" t="n">
        <x:v>26.354166666666668</x:v>
      </x:c>
      <x:c r="AC29" s="9" t="n">
        <x:v>-0.9052006382496217</x:v>
      </x:c>
      <x:c r="AD29" t="str">
        <x:v>P/E above 30; 1Y return below 10%</x:v>
      </x:c>
      <x:c r="AE29" t="str">
        <x:v>False</x:v>
      </x:c>
      <x:c r="AF29" t="str">
        <x:v>https://finance.yahoo.com/quote/DLF.NS</x:v>
      </x:c>
    </x:row>
    <x:row r="30">
      <x:c r="A30" t="str">
        <x:v>Avenue Supermarts Ltd.</x:v>
      </x:c>
      <x:c r="B30" t="str">
        <x:v>Consumer Services</x:v>
      </x:c>
      <x:c r="C30" t="str">
        <x:v>DMART</x:v>
      </x:c>
      <x:c r="D30" t="str">
        <x:v>EQ</x:v>
      </x:c>
      <x:c r="E30" t="str">
        <x:v>INE192R01011</x:v>
      </x:c>
      <x:c r="F30" t="str">
        <x:v>DMART.NS</x:v>
      </x:c>
      <x:c r="G30" s="10" t="n">
        <x:v>4286.89990234375</x:v>
      </x:c>
      <x:c r="H30" s="6" t="n">
        <x:v>0.019937618124828527</x:v>
      </x:c>
      <x:c r="I30" s="6" t="n">
        <x:v>0.24608995481552537</x:v>
      </x:c>
      <x:c r="J30" s="6" t="n">
        <x:v>-0.24496299747452233</x:v>
      </x:c>
      <x:c r="K30" t="n">
        <x:v>250</x:v>
      </x:c>
      <x:c r="L30" t="str">
        <x:v>2025-06-19</x:v>
      </x:c>
      <x:c r="M30" t="str">
        <x:v>2026-06-19</x:v>
      </x:c>
      <x:c r="N30"/>
      <x:c r="O30" s="5" t="n">
        <x:v>93.62087</x:v>
      </x:c>
      <x:c r="P30" s="7" t="n">
        <x:v>2796045467648</x:v>
      </x:c>
      <x:c r="Q30" s="7" t="n">
        <x:v>279604.5467648</x:v>
      </x:c>
      <x:c r="R30" t="str">
        <x:v>Consumer Defensive</x:v>
      </x:c>
      <x:c r="S30" t="str">
        <x:v>Discount Stores</x:v>
      </x:c>
      <x:c r="T30" t="str">
        <x:v>INR</x:v>
      </x:c>
      <x:c r="U30"/>
      <x:c r="V30" t="str">
        <x:v>2026-06-19</x:v>
      </x:c>
      <x:c r="W30" t="str">
        <x:v>True</x:v>
      </x:c>
      <x:c r="X30" s="8" t="n">
        <x:v>9.375</x:v>
      </x:c>
      <x:c r="Y30" s="8" t="n">
        <x:v>39.58333333333333</x:v>
      </x:c>
      <x:c r="Z30" s="8" t="n">
        <x:v>4.21875</x:v>
      </x:c>
      <x:c r="AA30" s="8" t="n">
        <x:v>21.770833333333332</x:v>
      </x:c>
      <x:c r="AB30" s="8" t="n">
        <x:v>25.989583333333332</x:v>
      </x:c>
      <x:c r="AC30" s="9" t="n">
        <x:v>0.08101760244449725</x:v>
      </x:c>
      <x:c r="AD30" t="str">
        <x:v>P/E above 30; 1Y return below 10%</x:v>
      </x:c>
      <x:c r="AE30" t="str">
        <x:v>False</x:v>
      </x:c>
      <x:c r="AF30" t="str">
        <x:v>https://finance.yahoo.com/quote/DMART.NS</x:v>
      </x:c>
    </x:row>
    <x:row r="31">
      <x:c r="A31" t="str">
        <x:v>Dr. Reddy's Laboratories Ltd.</x:v>
      </x:c>
      <x:c r="B31" t="str">
        <x:v>Healthcare</x:v>
      </x:c>
      <x:c r="C31" t="str">
        <x:v>DRREDDY</x:v>
      </x:c>
      <x:c r="D31" t="str">
        <x:v>EQ</x:v>
      </x:c>
      <x:c r="E31" t="str">
        <x:v>INE089A01031</x:v>
      </x:c>
      <x:c r="F31" t="str">
        <x:v>DRREDDY.NS</x:v>
      </x:c>
      <x:c r="G31" s="10" t="n">
        <x:v>1272.0999755859375</x:v>
      </x:c>
      <x:c r="H31" s="6" t="n">
        <x:v>-0.03463703576895416</x:v>
      </x:c>
      <x:c r="I31" s="6" t="n">
        <x:v>0.22683595853478206</x:v>
      </x:c>
      <x:c r="J31" s="6" t="n">
        <x:v>-0.13197744114983034</x:v>
      </x:c>
      <x:c r="K31" t="n">
        <x:v>250</x:v>
      </x:c>
      <x:c r="L31" t="str">
        <x:v>2025-06-19</x:v>
      </x:c>
      <x:c r="M31" t="str">
        <x:v>2026-06-19</x:v>
      </x:c>
      <x:c r="N31"/>
      <x:c r="O31" s="5" t="n">
        <x:v>24.720171</x:v>
      </x:c>
      <x:c r="P31" s="7" t="n">
        <x:v>1059282092032</x:v>
      </x:c>
      <x:c r="Q31" s="7" t="n">
        <x:v>105928.2092032</x:v>
      </x:c>
      <x:c r="R31" t="str">
        <x:v>Healthcare</x:v>
      </x:c>
      <x:c r="S31" t="str">
        <x:v>Drug Manufacturers - Specialty &amp; Generic</x:v>
      </x:c>
      <x:c r="T31" t="str">
        <x:v>INR</x:v>
      </x:c>
      <x:c r="U31"/>
      <x:c r="V31" t="str">
        <x:v>2026-06-19</x:v>
      </x:c>
      <x:c r="W31" t="str">
        <x:v>True</x:v>
      </x:c>
      <x:c r="X31" s="8" t="n">
        <x:v>61.458333333333336</x:v>
      </x:c>
      <x:c r="Y31" s="8" t="n">
        <x:v>31.25</x:v>
      </x:c>
      <x:c r="Z31" s="8" t="n">
        <x:v>27.65625</x:v>
      </x:c>
      <x:c r="AA31" s="8" t="n">
        <x:v>17.1875</x:v>
      </x:c>
      <x:c r="AB31" s="8" t="n">
        <x:v>44.84375</x:v>
      </x:c>
      <x:c r="AC31" s="9" t="n">
        <x:v>-0.15269640665742626</x:v>
      </x:c>
      <x:c r="AD31" t="str">
        <x:v>1Y return below 10%</x:v>
      </x:c>
      <x:c r="AE31" t="str">
        <x:v>False</x:v>
      </x:c>
      <x:c r="AF31" t="str">
        <x:v>https://finance.yahoo.com/quote/DRREDDY.NS</x:v>
      </x:c>
    </x:row>
    <x:row r="32">
      <x:c r="A32" t="str">
        <x:v>Eicher Motors Ltd.</x:v>
      </x:c>
      <x:c r="B32" t="str">
        <x:v>Automobile and Auto Components</x:v>
      </x:c>
      <x:c r="C32" t="str">
        <x:v>EICHERMOT</x:v>
      </x:c>
      <x:c r="D32" t="str">
        <x:v>EQ</x:v>
      </x:c>
      <x:c r="E32" t="str">
        <x:v>INE066A01021</x:v>
      </x:c>
      <x:c r="F32" t="str">
        <x:v>EICHERMOT.NS</x:v>
      </x:c>
      <x:c r="G32" s="10" t="n">
        <x:v>7611</x:v>
      </x:c>
      <x:c r="H32" s="6" t="n">
        <x:v>0.4034200880857841</x:v>
      </x:c>
      <x:c r="I32" s="6" t="n">
        <x:v>0.2610316516651589</x:v>
      </x:c>
      <x:c r="J32" s="6" t="n">
        <x:v>-0.19584859584859582</x:v>
      </x:c>
      <x:c r="K32" t="n">
        <x:v>250</x:v>
      </x:c>
      <x:c r="L32" t="str">
        <x:v>2025-06-19</x:v>
      </x:c>
      <x:c r="M32" t="str">
        <x:v>2026-06-19</x:v>
      </x:c>
      <x:c r="N32"/>
      <x:c r="O32" s="5" t="n">
        <x:v>37.988518</x:v>
      </x:c>
      <x:c r="P32" s="7" t="n">
        <x:v>2089200779264</x:v>
      </x:c>
      <x:c r="Q32" s="7" t="n">
        <x:v>208920.0779264</x:v>
      </x:c>
      <x:c r="R32" t="str">
        <x:v>Consumer Cyclical</x:v>
      </x:c>
      <x:c r="S32" t="str">
        <x:v>Auto Manufacturers</x:v>
      </x:c>
      <x:c r="T32" t="str">
        <x:v>INR</x:v>
      </x:c>
      <x:c r="U32"/>
      <x:c r="V32" t="str">
        <x:v>2026-06-19</x:v>
      </x:c>
      <x:c r="W32" t="str">
        <x:v>True</x:v>
      </x:c>
      <x:c r="X32" s="8" t="n">
        <x:v>43.75</x:v>
      </x:c>
      <x:c r="Y32" s="8" t="n">
        <x:v>89.58333333333334</x:v>
      </x:c>
      <x:c r="Z32" s="8" t="n">
        <x:v>19.6875</x:v>
      </x:c>
      <x:c r="AA32" s="8" t="n">
        <x:v>49.27083333333334</x:v>
      </x:c>
      <x:c r="AB32" s="8" t="n">
        <x:v>68.95833333333334</x:v>
      </x:c>
      <x:c r="AC32" s="9" t="n">
        <x:v>1.5454834136485314</x:v>
      </x:c>
      <x:c r="AD32" t="str">
        <x:v>P/E above 30</x:v>
      </x:c>
      <x:c r="AE32" t="str">
        <x:v>False</x:v>
      </x:c>
      <x:c r="AF32" t="str">
        <x:v>https://finance.yahoo.com/quote/EICHERMOT.NS</x:v>
      </x:c>
    </x:row>
    <x:row r="33">
      <x:c r="A33" t="str">
        <x:v>Siemens Energy India Ltd.</x:v>
      </x:c>
      <x:c r="B33" t="str">
        <x:v>Capital Goods</x:v>
      </x:c>
      <x:c r="C33" t="str">
        <x:v>ENRIN</x:v>
      </x:c>
      <x:c r="D33" t="str">
        <x:v>EQ</x:v>
      </x:c>
      <x:c r="E33" t="str">
        <x:v>INE1NPP01017</x:v>
      </x:c>
      <x:c r="F33" t="str">
        <x:v>ENRIN.NS</x:v>
      </x:c>
      <x:c r="G33" s="10" t="n">
        <x:v>3833.89990234375</x:v>
      </x:c>
      <x:c r="H33" s="6" t="n">
        <x:v>0.40405482515001556</x:v>
      </x:c>
      <x:c r="I33" s="6" t="n">
        <x:v>0.3595216662607569</x:v>
      </x:c>
      <x:c r="J33" s="6" t="n">
        <x:v>-0.4106751967601665</x:v>
      </x:c>
      <x:c r="K33" t="n">
        <x:v>250</x:v>
      </x:c>
      <x:c r="L33" t="str">
        <x:v>2025-06-19</x:v>
      </x:c>
      <x:c r="M33" t="str">
        <x:v>2026-06-19</x:v>
      </x:c>
      <x:c r="N33"/>
      <x:c r="O33" s="5" t="n">
        <x:v>104.153755</x:v>
      </x:c>
      <x:c r="P33" s="7" t="n">
        <x:v>1365330362368</x:v>
      </x:c>
      <x:c r="Q33" s="7" t="n">
        <x:v>136533.0362368</x:v>
      </x:c>
      <x:c r="R33" t="str">
        <x:v>Utilities</x:v>
      </x:c>
      <x:c r="S33" t="str">
        <x:v>Utilities - Renewable</x:v>
      </x:c>
      <x:c r="T33" t="str">
        <x:v>INR</x:v>
      </x:c>
      <x:c r="U33"/>
      <x:c r="V33" t="str">
        <x:v>2026-06-19</x:v>
      </x:c>
      <x:c r="W33" t="str">
        <x:v>True</x:v>
      </x:c>
      <x:c r="X33" s="8" t="n">
        <x:v>4.166666666666666</x:v>
      </x:c>
      <x:c r="Y33" s="8" t="n">
        <x:v>90.625</x:v>
      </x:c>
      <x:c r="Z33" s="8" t="n">
        <x:v>1.8749999999999998</x:v>
      </x:c>
      <x:c r="AA33" s="8" t="n">
        <x:v>49.84375000000001</x:v>
      </x:c>
      <x:c r="AB33" s="8" t="n">
        <x:v>51.71875000000001</x:v>
      </x:c>
      <x:c r="AC33" s="9" t="n">
        <x:v>1.123867802884957</x:v>
      </x:c>
      <x:c r="AD33" t="str">
        <x:v>P/E above 30</x:v>
      </x:c>
      <x:c r="AE33" t="str">
        <x:v>False</x:v>
      </x:c>
      <x:c r="AF33" t="str">
        <x:v>https://finance.yahoo.com/quote/ENRIN.NS</x:v>
      </x:c>
    </x:row>
    <x:row r="34">
      <x:c r="A34" t="str">
        <x:v>Eternal Ltd.</x:v>
      </x:c>
      <x:c r="B34" t="str">
        <x:v>Consumer Services</x:v>
      </x:c>
      <x:c r="C34" t="str">
        <x:v>ETERNAL</x:v>
      </x:c>
      <x:c r="D34" t="str">
        <x:v>EQ</x:v>
      </x:c>
      <x:c r="E34" t="str">
        <x:v>INE758T01015</x:v>
      </x:c>
      <x:c r="F34" t="str">
        <x:v>ETERNAL.NS</x:v>
      </x:c>
      <x:c r="G34" s="10" t="n">
        <x:v>264.29998779296875</x:v>
      </x:c>
      <x:c r="H34" s="6" t="n">
        <x:v>0.0596583663429604</x:v>
      </x:c>
      <x:c r="I34" s="6" t="n">
        <x:v>0.3401418769319812</x:v>
      </x:c>
      <x:c r="J34" s="6" t="n">
        <x:v>-0.39133628062426207</x:v>
      </x:c>
      <x:c r="K34" t="n">
        <x:v>250</x:v>
      </x:c>
      <x:c r="L34" t="str">
        <x:v>2025-06-19</x:v>
      </x:c>
      <x:c r="M34" t="str">
        <x:v>2026-06-19</x:v>
      </x:c>
      <x:c r="N34"/>
      <x:c r="O34" s="5" t="n">
        <x:v>695.5263</x:v>
      </x:c>
      <x:c r="P34" s="7" t="n">
        <x:v>2429945380864</x:v>
      </x:c>
      <x:c r="Q34" s="7" t="n">
        <x:v>242994.5380864</x:v>
      </x:c>
      <x:c r="R34" t="str">
        <x:v>Consumer Cyclical</x:v>
      </x:c>
      <x:c r="S34" t="str">
        <x:v>Internet Retail</x:v>
      </x:c>
      <x:c r="T34" t="str">
        <x:v>INR</x:v>
      </x:c>
      <x:c r="U34"/>
      <x:c r="V34" t="str">
        <x:v>2026-06-19</x:v>
      </x:c>
      <x:c r="W34" t="str">
        <x:v>True</x:v>
      </x:c>
      <x:c r="X34" s="8" t="n">
        <x:v>1.0416666666666665</x:v>
      </x:c>
      <x:c r="Y34" s="8" t="n">
        <x:v>50</x:v>
      </x:c>
      <x:c r="Z34" s="8" t="n">
        <x:v>0.46874999999999994</x:v>
      </x:c>
      <x:c r="AA34" s="8" t="n">
        <x:v>27.500000000000004</x:v>
      </x:c>
      <x:c r="AB34" s="8" t="n">
        <x:v>27.968750000000004</x:v>
      </x:c>
      <x:c r="AC34" s="9" t="n">
        <x:v>0.1753925946462934</x:v>
      </x:c>
      <x:c r="AD34" t="str">
        <x:v>P/E above 30; 1Y return below 10%</x:v>
      </x:c>
      <x:c r="AE34" t="str">
        <x:v>False</x:v>
      </x:c>
      <x:c r="AF34" t="str">
        <x:v>https://finance.yahoo.com/quote/ETERNAL.NS</x:v>
      </x:c>
    </x:row>
    <x:row r="35">
      <x:c r="A35" t="str">
        <x:v>GAIL (India) Ltd.</x:v>
      </x:c>
      <x:c r="B35" t="str">
        <x:v>Oil Gas &amp; Consumable Fuels</x:v>
      </x:c>
      <x:c r="C35" t="str">
        <x:v>GAIL</x:v>
      </x:c>
      <x:c r="D35" t="str">
        <x:v>EQ</x:v>
      </x:c>
      <x:c r="E35" t="str">
        <x:v>INE129A01019</x:v>
      </x:c>
      <x:c r="F35" t="str">
        <x:v>GAIL.NS</x:v>
      </x:c>
      <x:c r="G35" s="10" t="n">
        <x:v>173.89999389648438</x:v>
      </x:c>
      <x:c r="H35" s="6" t="n">
        <x:v>-0.0003066611252463547</x:v>
      </x:c>
      <x:c r="I35" s="6" t="n">
        <x:v>0.24696870589108239</x:v>
      </x:c>
      <x:c r="J35" s="6" t="n">
        <x:v>-0.2739482770089847</x:v>
      </x:c>
      <x:c r="K35" t="n">
        <x:v>250</x:v>
      </x:c>
      <x:c r="L35" t="str">
        <x:v>2025-06-19</x:v>
      </x:c>
      <x:c r="M35" t="str">
        <x:v>2026-06-19</x:v>
      </x:c>
      <x:c r="N35"/>
      <x:c r="O35" s="5" t="n">
        <x:v>15.082394</x:v>
      </x:c>
      <x:c r="P35" s="7" t="n">
        <x:v>1143406329856</x:v>
      </x:c>
      <x:c r="Q35" s="7" t="n">
        <x:v>114340.6329856</x:v>
      </x:c>
      <x:c r="R35" t="str">
        <x:v>Utilities</x:v>
      </x:c>
      <x:c r="S35" t="str">
        <x:v>Utilities - Regulated Gas</x:v>
      </x:c>
      <x:c r="T35" t="str">
        <x:v>INR</x:v>
      </x:c>
      <x:c r="U35"/>
      <x:c r="V35" t="str">
        <x:v>2026-06-19</x:v>
      </x:c>
      <x:c r="W35" t="str">
        <x:v>True</x:v>
      </x:c>
      <x:c r="X35" s="8" t="n">
        <x:v>81.25</x:v>
      </x:c>
      <x:c r="Y35" s="8" t="n">
        <x:v>35.41666666666667</x:v>
      </x:c>
      <x:c r="Z35" s="8" t="n">
        <x:v>36.5625</x:v>
      </x:c>
      <x:c r="AA35" s="8" t="n">
        <x:v>19.47916666666667</x:v>
      </x:c>
      <x:c r="AB35" s="8" t="n">
        <x:v>56.04166666666667</x:v>
      </x:c>
      <x:c r="AC35" s="9" t="n">
        <x:v>-0.0012417003366475012</x:v>
      </x:c>
      <x:c r="AD35" t="str">
        <x:v>1Y return below 10%</x:v>
      </x:c>
      <x:c r="AE35" t="str">
        <x:v>False</x:v>
      </x:c>
      <x:c r="AF35" t="str">
        <x:v>https://finance.yahoo.com/quote/GAIL.NS</x:v>
      </x:c>
    </x:row>
    <x:row r="36">
      <x:c r="A36" t="str">
        <x:v>Godrej Consumer Products Ltd.</x:v>
      </x:c>
      <x:c r="B36" t="str">
        <x:v>Fast Moving Consumer Goods</x:v>
      </x:c>
      <x:c r="C36" t="str">
        <x:v>GODREJCP</x:v>
      </x:c>
      <x:c r="D36" t="str">
        <x:v>EQ</x:v>
      </x:c>
      <x:c r="E36" t="str">
        <x:v>INE102D01028</x:v>
      </x:c>
      <x:c r="F36" t="str">
        <x:v>GODREJCP.NS</x:v>
      </x:c>
      <x:c r="G36" s="10" t="n">
        <x:v>1000.5999755859375</x:v>
      </x:c>
      <x:c r="H36" s="6" t="n">
        <x:v>-0.1468904944485382</x:v>
      </x:c>
      <x:c r="I36" s="6" t="n">
        <x:v>0.24247303517829957</x:v>
      </x:c>
      <x:c r="J36" s="6" t="n">
        <x:v>-0.22896146862305067</x:v>
      </x:c>
      <x:c r="K36" t="n">
        <x:v>250</x:v>
      </x:c>
      <x:c r="L36" t="str">
        <x:v>2025-06-19</x:v>
      </x:c>
      <x:c r="M36" t="str">
        <x:v>2026-06-19</x:v>
      </x:c>
      <x:c r="N36"/>
      <x:c r="O36" s="5" t="n">
        <x:v>54.947834</x:v>
      </x:c>
      <x:c r="P36" s="7" t="n">
        <x:v>1023858507776</x:v>
      </x:c>
      <x:c r="Q36" s="7" t="n">
        <x:v>102385.8507776</x:v>
      </x:c>
      <x:c r="R36" t="str">
        <x:v>Consumer Defensive</x:v>
      </x:c>
      <x:c r="S36" t="str">
        <x:v>Household &amp; Personal Products</x:v>
      </x:c>
      <x:c r="T36" t="str">
        <x:v>INR</x:v>
      </x:c>
      <x:c r="U36"/>
      <x:c r="V36" t="str">
        <x:v>2026-06-19</x:v>
      </x:c>
      <x:c r="W36" t="str">
        <x:v>True</x:v>
      </x:c>
      <x:c r="X36" s="8" t="n">
        <x:v>27.083333333333332</x:v>
      </x:c>
      <x:c r="Y36" s="8" t="n">
        <x:v>17.708333333333336</x:v>
      </x:c>
      <x:c r="Z36" s="8" t="n">
        <x:v>12.1875</x:v>
      </x:c>
      <x:c r="AA36" s="8" t="n">
        <x:v>9.739583333333336</x:v>
      </x:c>
      <x:c r="AB36" s="8" t="n">
        <x:v>21.927083333333336</x:v>
      </x:c>
      <x:c r="AC36" s="9" t="n">
        <x:v>-0.6058013598935819</x:v>
      </x:c>
      <x:c r="AD36" t="str">
        <x:v>P/E above 30; 1Y return below 10%</x:v>
      </x:c>
      <x:c r="AE36" t="str">
        <x:v>False</x:v>
      </x:c>
      <x:c r="AF36" t="str">
        <x:v>https://finance.yahoo.com/quote/GODREJCP.NS</x:v>
      </x:c>
    </x:row>
    <x:row r="37">
      <x:c r="A37" t="str">
        <x:v>Grasim Industries Ltd.</x:v>
      </x:c>
      <x:c r="B37" t="str">
        <x:v>Construction Materials</x:v>
      </x:c>
      <x:c r="C37" t="str">
        <x:v>GRASIM</x:v>
      </x:c>
      <x:c r="D37" t="str">
        <x:v>EQ</x:v>
      </x:c>
      <x:c r="E37" t="str">
        <x:v>INE047A01021</x:v>
      </x:c>
      <x:c r="F37" t="str">
        <x:v>GRASIM.NS</x:v>
      </x:c>
      <x:c r="G37" s="10" t="n">
        <x:v>3149.5</x:v>
      </x:c>
      <x:c r="H37" s="6" t="n">
        <x:v>0.1736808255718605</x:v>
      </x:c>
      <x:c r="I37" s="6" t="n">
        <x:v>0.21485244171560244</x:v>
      </x:c>
      <x:c r="J37" s="6" t="n">
        <x:v>-0.14452288524433243</x:v>
      </x:c>
      <x:c r="K37" t="n">
        <x:v>250</x:v>
      </x:c>
      <x:c r="L37" t="str">
        <x:v>2025-06-19</x:v>
      </x:c>
      <x:c r="M37" t="str">
        <x:v>2026-06-19</x:v>
      </x:c>
      <x:c r="N37"/>
      <x:c r="O37" s="5" t="n">
        <x:v>43.0436</x:v>
      </x:c>
      <x:c r="P37" s="7" t="n">
        <x:v>2135905271808</x:v>
      </x:c>
      <x:c r="Q37" s="7" t="n">
        <x:v>213590.5271808</x:v>
      </x:c>
      <x:c r="R37" t="str">
        <x:v>Basic Materials</x:v>
      </x:c>
      <x:c r="S37" t="str">
        <x:v>Building Materials</x:v>
      </x:c>
      <x:c r="T37" t="str">
        <x:v>INR</x:v>
      </x:c>
      <x:c r="U37"/>
      <x:c r="V37" t="str">
        <x:v>2026-06-19</x:v>
      </x:c>
      <x:c r="W37" t="str">
        <x:v>True</x:v>
      </x:c>
      <x:c r="X37" s="8" t="n">
        <x:v>35.41666666666667</x:v>
      </x:c>
      <x:c r="Y37" s="8" t="n">
        <x:v>65.625</x:v>
      </x:c>
      <x:c r="Z37" s="8" t="n">
        <x:v>15.937500000000002</x:v>
      </x:c>
      <x:c r="AA37" s="8" t="n">
        <x:v>36.09375</x:v>
      </x:c>
      <x:c r="AB37" s="8" t="n">
        <x:v>52.03125</x:v>
      </x:c>
      <x:c r="AC37" s="9" t="n">
        <x:v>0.8083725936973976</x:v>
      </x:c>
      <x:c r="AD37" t="str">
        <x:v>P/E above 30</x:v>
      </x:c>
      <x:c r="AE37" t="str">
        <x:v>False</x:v>
      </x:c>
      <x:c r="AF37" t="str">
        <x:v>https://finance.yahoo.com/quote/GRASIM.NS</x:v>
      </x:c>
    </x:row>
    <x:row r="38">
      <x:c r="A38" t="str">
        <x:v>Hindustan Aeronautics Ltd.</x:v>
      </x:c>
      <x:c r="B38" t="str">
        <x:v>Capital Goods</x:v>
      </x:c>
      <x:c r="C38" t="str">
        <x:v>HAL</x:v>
      </x:c>
      <x:c r="D38" t="str">
        <x:v>EQ</x:v>
      </x:c>
      <x:c r="E38" t="str">
        <x:v>INE066F01020</x:v>
      </x:c>
      <x:c r="F38" t="str">
        <x:v>HAL.NS</x:v>
      </x:c>
      <x:c r="G38" s="10" t="n">
        <x:v>4408.10009765625</x:v>
      </x:c>
      <x:c r="H38" s="6" t="n">
        <x:v>-0.09028506948377202</x:v>
      </x:c>
      <x:c r="I38" s="6" t="n">
        <x:v>0.2709880205306799</x:v>
      </x:c>
      <x:c r="J38" s="6" t="n">
        <x:v>-0.29835403964998386</x:v>
      </x:c>
      <x:c r="K38" t="n">
        <x:v>250</x:v>
      </x:c>
      <x:c r="L38" t="str">
        <x:v>2025-06-19</x:v>
      </x:c>
      <x:c r="M38" t="str">
        <x:v>2026-06-19</x:v>
      </x:c>
      <x:c r="N38"/>
      <x:c r="O38" s="5" t="n">
        <x:v>32.367283</x:v>
      </x:c>
      <x:c r="P38" s="7" t="n">
        <x:v>2948027121664</x:v>
      </x:c>
      <x:c r="Q38" s="7" t="n">
        <x:v>294802.7121664</x:v>
      </x:c>
      <x:c r="R38" t="str">
        <x:v>Industrials</x:v>
      </x:c>
      <x:c r="S38" t="str">
        <x:v>Aerospace &amp; Defense</x:v>
      </x:c>
      <x:c r="T38" t="str">
        <x:v>INR</x:v>
      </x:c>
      <x:c r="U38"/>
      <x:c r="V38" t="str">
        <x:v>2026-06-19</x:v>
      </x:c>
      <x:c r="W38" t="str">
        <x:v>True</x:v>
      </x:c>
      <x:c r="X38" s="8" t="n">
        <x:v>50</x:v>
      </x:c>
      <x:c r="Y38" s="8" t="n">
        <x:v>22.916666666666664</x:v>
      </x:c>
      <x:c r="Z38" s="8" t="n">
        <x:v>22.5</x:v>
      </x:c>
      <x:c r="AA38" s="8" t="n">
        <x:v>12.604166666666666</x:v>
      </x:c>
      <x:c r="AB38" s="8" t="n">
        <x:v>35.104166666666664</x:v>
      </x:c>
      <x:c r="AC38" s="9" t="n">
        <x:v>-0.33316996562049284</x:v>
      </x:c>
      <x:c r="AD38" t="str">
        <x:v>P/E above 30; 1Y return below 10%</x:v>
      </x:c>
      <x:c r="AE38" t="str">
        <x:v>False</x:v>
      </x:c>
      <x:c r="AF38" t="str">
        <x:v>https://finance.yahoo.com/quote/HAL.NS</x:v>
      </x:c>
    </x:row>
    <x:row r="39">
      <x:c r="A39" t="str">
        <x:v>HCL Technologies Ltd.</x:v>
      </x:c>
      <x:c r="B39" t="str">
        <x:v>Information Technology</x:v>
      </x:c>
      <x:c r="C39" t="str">
        <x:v>HCLTECH</x:v>
      </x:c>
      <x:c r="D39" t="str">
        <x:v>EQ</x:v>
      </x:c>
      <x:c r="E39" t="str">
        <x:v>INE860A01027</x:v>
      </x:c>
      <x:c r="F39" t="str">
        <x:v>HCLTECH.NS</x:v>
      </x:c>
      <x:c r="G39" s="10" t="n">
        <x:v>1131.699951171875</x:v>
      </x:c>
      <x:c r="H39" s="6" t="n">
        <x:v>-0.3114128539580878</x:v>
      </x:c>
      <x:c r="I39" s="6" t="n">
        <x:v>0.25649128065584303</x:v>
      </x:c>
      <x:c r="J39" s="6" t="n">
        <x:v>-0.34618226063293955</x:v>
      </x:c>
      <x:c r="K39" t="n">
        <x:v>250</x:v>
      </x:c>
      <x:c r="L39" t="str">
        <x:v>2025-06-19</x:v>
      </x:c>
      <x:c r="M39" t="str">
        <x:v>2026-06-19</x:v>
      </x:c>
      <x:c r="N39"/>
      <x:c r="O39" s="5" t="n">
        <x:v>18.45865</x:v>
      </x:c>
      <x:c r="P39" s="7" t="n">
        <x:v>3062116122624</x:v>
      </x:c>
      <x:c r="Q39" s="7" t="n">
        <x:v>306211.6122624</x:v>
      </x:c>
      <x:c r="R39" t="str">
        <x:v>Technology</x:v>
      </x:c>
      <x:c r="S39" t="str">
        <x:v>Information Technology Services</x:v>
      </x:c>
      <x:c r="T39" t="str">
        <x:v>INR</x:v>
      </x:c>
      <x:c r="U39"/>
      <x:c r="V39" t="str">
        <x:v>2026-06-19</x:v>
      </x:c>
      <x:c r="W39" t="str">
        <x:v>True</x:v>
      </x:c>
      <x:c r="X39" s="8" t="n">
        <x:v>71.875</x:v>
      </x:c>
      <x:c r="Y39" s="8" t="n">
        <x:v>5.208333333333334</x:v>
      </x:c>
      <x:c r="Z39" s="8" t="n">
        <x:v>32.34375</x:v>
      </x:c>
      <x:c r="AA39" s="8" t="n">
        <x:v>2.864583333333334</x:v>
      </x:c>
      <x:c r="AB39" s="8" t="n">
        <x:v>35.208333333333336</x:v>
      </x:c>
      <x:c r="AC39" s="9" t="n">
        <x:v>-1.2141264730785835</x:v>
      </x:c>
      <x:c r="AD39" t="str">
        <x:v>1Y return below 10%</x:v>
      </x:c>
      <x:c r="AE39" t="str">
        <x:v>False</x:v>
      </x:c>
      <x:c r="AF39" t="str">
        <x:v>https://finance.yahoo.com/quote/HCLTECH.NS</x:v>
      </x:c>
    </x:row>
    <x:row r="40">
      <x:c r="A40" t="str">
        <x:v>HDFC Asset Management Company Ltd.</x:v>
      </x:c>
      <x:c r="B40" t="str">
        <x:v>Financial Services</x:v>
      </x:c>
      <x:c r="C40" t="str">
        <x:v>HDFCAMC</x:v>
      </x:c>
      <x:c r="D40" t="str">
        <x:v>EQ</x:v>
      </x:c>
      <x:c r="E40" t="str">
        <x:v>INE127D01025</x:v>
      </x:c>
      <x:c r="F40" t="str">
        <x:v>HDFCAMC.NS</x:v>
      </x:c>
      <x:c r="G40" s="10" t="n">
        <x:v>2719</x:v>
      </x:c>
      <x:c r="H40" s="6" t="n">
        <x:v>0.13930101266322614</x:v>
      </x:c>
      <x:c r="I40" s="6" t="n">
        <x:v>0.302518726418379</x:v>
      </x:c>
      <x:c r="J40" s="6" t="n">
        <x:v>-0.24765783876039527</x:v>
      </x:c>
      <x:c r="K40" t="n">
        <x:v>250</x:v>
      </x:c>
      <x:c r="L40" t="str">
        <x:v>2025-06-19</x:v>
      </x:c>
      <x:c r="M40" t="str">
        <x:v>2026-06-19</x:v>
      </x:c>
      <x:c r="N40"/>
      <x:c r="O40" s="5" t="n">
        <x:v>40.90567</x:v>
      </x:c>
      <x:c r="P40" s="7" t="n">
        <x:v>1165508214784</x:v>
      </x:c>
      <x:c r="Q40" s="7" t="n">
        <x:v>116550.8214784</x:v>
      </x:c>
      <x:c r="R40" t="str">
        <x:v>Financial Services</x:v>
      </x:c>
      <x:c r="S40" t="str">
        <x:v>Asset Management</x:v>
      </x:c>
      <x:c r="T40" t="str">
        <x:v>INR</x:v>
      </x:c>
      <x:c r="U40"/>
      <x:c r="V40" t="str">
        <x:v>2026-06-19</x:v>
      </x:c>
      <x:c r="W40" t="str">
        <x:v>True</x:v>
      </x:c>
      <x:c r="X40" s="8" t="n">
        <x:v>38.54166666666667</x:v>
      </x:c>
      <x:c r="Y40" s="8" t="n">
        <x:v>61.458333333333336</x:v>
      </x:c>
      <x:c r="Z40" s="8" t="n">
        <x:v>17.343750000000004</x:v>
      </x:c>
      <x:c r="AA40" s="8" t="n">
        <x:v>33.802083333333336</x:v>
      </x:c>
      <x:c r="AB40" s="8" t="n">
        <x:v>51.14583333333334</x:v>
      </x:c>
      <x:c r="AC40" s="9" t="n">
        <x:v>0.4604707097390555</x:v>
      </x:c>
      <x:c r="AD40" t="str">
        <x:v>P/E above 30</x:v>
      </x:c>
      <x:c r="AE40" t="str">
        <x:v>False</x:v>
      </x:c>
      <x:c r="AF40" t="str">
        <x:v>https://finance.yahoo.com/quote/HDFCAMC.NS</x:v>
      </x:c>
    </x:row>
    <x:row r="41">
      <x:c r="A41" t="str">
        <x:v>HDFC Bank Ltd.</x:v>
      </x:c>
      <x:c r="B41" t="str">
        <x:v>Financial Services</x:v>
      </x:c>
      <x:c r="C41" t="str">
        <x:v>HDFCBANK</x:v>
      </x:c>
      <x:c r="D41" t="str">
        <x:v>EQ</x:v>
      </x:c>
      <x:c r="E41" t="str">
        <x:v>INE040A01034</x:v>
      </x:c>
      <x:c r="F41" t="str">
        <x:v>HDFCBANK.NS</x:v>
      </x:c>
      <x:c r="G41" s="10" t="n">
        <x:v>779.7999877929688</x:v>
      </x:c>
      <x:c r="H41" s="6" t="n">
        <x:v>-0.16972842980735214</x:v>
      </x:c>
      <x:c r="I41" s="6" t="n">
        <x:v>0.19655747394982254</x:v>
      </x:c>
      <x:c r="J41" s="6" t="n">
        <x:v>-0.2777668608718886</x:v>
      </x:c>
      <x:c r="K41" t="n">
        <x:v>250</x:v>
      </x:c>
      <x:c r="L41" t="str">
        <x:v>2025-06-19</x:v>
      </x:c>
      <x:c r="M41" t="str">
        <x:v>2026-06-19</x:v>
      </x:c>
      <x:c r="N41"/>
      <x:c r="O41" s="5" t="n">
        <x:v>17.398483</x:v>
      </x:c>
      <x:c r="P41" s="7" t="n">
        <x:v>12007002603520</x:v>
      </x:c>
      <x:c r="Q41" s="7" t="n">
        <x:v>1200700.260352</x:v>
      </x:c>
      <x:c r="R41" t="str">
        <x:v>Financial Services</x:v>
      </x:c>
      <x:c r="S41" t="str">
        <x:v>Banks - Regional</x:v>
      </x:c>
      <x:c r="T41" t="str">
        <x:v>INR</x:v>
      </x:c>
      <x:c r="U41"/>
      <x:c r="V41" t="str">
        <x:v>2026-06-19</x:v>
      </x:c>
      <x:c r="W41" t="str">
        <x:v>True</x:v>
      </x:c>
      <x:c r="X41" s="8" t="n">
        <x:v>75</x:v>
      </x:c>
      <x:c r="Y41" s="8" t="n">
        <x:v>16.666666666666664</x:v>
      </x:c>
      <x:c r="Z41" s="8" t="n">
        <x:v>33.75</x:v>
      </x:c>
      <x:c r="AA41" s="8" t="n">
        <x:v>9.166666666666666</x:v>
      </x:c>
      <x:c r="AB41" s="8" t="n">
        <x:v>42.916666666666664</x:v>
      </x:c>
      <x:c r="AC41" s="9" t="n">
        <x:v>-0.8635053472994909</x:v>
      </x:c>
      <x:c r="AD41" t="str">
        <x:v>1Y return below 10%</x:v>
      </x:c>
      <x:c r="AE41" t="str">
        <x:v>False</x:v>
      </x:c>
      <x:c r="AF41" t="str">
        <x:v>https://finance.yahoo.com/quote/HDFCBANK.NS</x:v>
      </x:c>
    </x:row>
    <x:row r="42">
      <x:c r="A42" t="str">
        <x:v>HDFC Life Insurance Company Ltd.</x:v>
      </x:c>
      <x:c r="B42" t="str">
        <x:v>Financial Services</x:v>
      </x:c>
      <x:c r="C42" t="str">
        <x:v>HDFCLIFE</x:v>
      </x:c>
      <x:c r="D42" t="str">
        <x:v>EQ</x:v>
      </x:c>
      <x:c r="E42" t="str">
        <x:v>INE795G01014</x:v>
      </x:c>
      <x:c r="F42" t="str">
        <x:v>HDFCLIFE.NS</x:v>
      </x:c>
      <x:c r="G42" s="10" t="n">
        <x:v>591.8499755859375</x:v>
      </x:c>
      <x:c r="H42" s="6" t="n">
        <x:v>-0.21821722597630433</x:v>
      </x:c>
      <x:c r="I42" s="6" t="n">
        <x:v>0.21633126476782494</x:v>
      </x:c>
      <x:c r="J42" s="6" t="n">
        <x:v>-0.330406498096262</x:v>
      </x:c>
      <x:c r="K42" t="n">
        <x:v>250</x:v>
      </x:c>
      <x:c r="L42" t="str">
        <x:v>2025-06-19</x:v>
      </x:c>
      <x:c r="M42" t="str">
        <x:v>2026-06-19</x:v>
      </x:c>
      <x:c r="N42"/>
      <x:c r="O42" s="5" t="n">
        <x:v>66.8757</x:v>
      </x:c>
      <x:c r="P42" s="7" t="n">
        <x:v>1285459804160</x:v>
      </x:c>
      <x:c r="Q42" s="7" t="n">
        <x:v>128545.980416</x:v>
      </x:c>
      <x:c r="R42" t="str">
        <x:v>Financial Services</x:v>
      </x:c>
      <x:c r="S42" t="str">
        <x:v>Insurance - Life</x:v>
      </x:c>
      <x:c r="T42" t="str">
        <x:v>INR</x:v>
      </x:c>
      <x:c r="U42"/>
      <x:c r="V42" t="str">
        <x:v>2026-06-19</x:v>
      </x:c>
      <x:c r="W42" t="str">
        <x:v>True</x:v>
      </x:c>
      <x:c r="X42" s="8" t="n">
        <x:v>20.833333333333336</x:v>
      </x:c>
      <x:c r="Y42" s="8" t="n">
        <x:v>12.5</x:v>
      </x:c>
      <x:c r="Z42" s="8" t="n">
        <x:v>9.375000000000002</x:v>
      </x:c>
      <x:c r="AA42" s="8" t="n">
        <x:v>6.875000000000001</x:v>
      </x:c>
      <x:c r="AB42" s="8" t="n">
        <x:v>16.250000000000004</x:v>
      </x:c>
      <x:c r="AC42" s="9" t="n">
        <x:v>-1.0087179317816288</x:v>
      </x:c>
      <x:c r="AD42" t="str">
        <x:v>P/E above 30; 1Y return below 10%</x:v>
      </x:c>
      <x:c r="AE42" t="str">
        <x:v>False</x:v>
      </x:c>
      <x:c r="AF42" t="str">
        <x:v>https://finance.yahoo.com/quote/HDFCLIFE.NS</x:v>
      </x:c>
    </x:row>
    <x:row r="43">
      <x:c r="A43" t="str">
        <x:v>Hindalco Industries Ltd.</x:v>
      </x:c>
      <x:c r="B43" t="str">
        <x:v>Metals &amp; Mining</x:v>
      </x:c>
      <x:c r="C43" t="str">
        <x:v>HINDALCO</x:v>
      </x:c>
      <x:c r="D43" t="str">
        <x:v>EQ</x:v>
      </x:c>
      <x:c r="E43" t="str">
        <x:v>INE038A01020</x:v>
      </x:c>
      <x:c r="F43" t="str">
        <x:v>HINDALCO.NS</x:v>
      </x:c>
      <x:c r="G43" s="10" t="n">
        <x:v>1010</x:v>
      </x:c>
      <x:c r="H43" s="6" t="n">
        <x:v>0.5863521016732303</x:v>
      </x:c>
      <x:c r="I43" s="6" t="n">
        <x:v>0.2749805653562046</x:v>
      </x:c>
      <x:c r="J43" s="6" t="n">
        <x:v>-0.17948346278432115</x:v>
      </x:c>
      <x:c r="K43" t="n">
        <x:v>250</x:v>
      </x:c>
      <x:c r="L43" t="str">
        <x:v>2025-06-19</x:v>
      </x:c>
      <x:c r="M43" t="str">
        <x:v>2026-06-19</x:v>
      </x:c>
      <x:c r="N43"/>
      <x:c r="O43" s="5" t="n">
        <x:v>16.771835</x:v>
      </x:c>
      <x:c r="P43" s="7" t="n">
        <x:v>2258514739200</x:v>
      </x:c>
      <x:c r="Q43" s="7" t="n">
        <x:v>225851.47392</x:v>
      </x:c>
      <x:c r="R43" t="str">
        <x:v>Basic Materials</x:v>
      </x:c>
      <x:c r="S43" t="str">
        <x:v>Aluminum</x:v>
      </x:c>
      <x:c r="T43" t="str">
        <x:v>INR</x:v>
      </x:c>
      <x:c r="U43"/>
      <x:c r="V43" t="str">
        <x:v>2026-06-19</x:v>
      </x:c>
      <x:c r="W43" t="str">
        <x:v>True</x:v>
      </x:c>
      <x:c r="X43" s="8" t="n">
        <x:v>77.08333333333334</x:v>
      </x:c>
      <x:c r="Y43" s="8" t="n">
        <x:v>95.83333333333334</x:v>
      </x:c>
      <x:c r="Z43" s="8" t="n">
        <x:v>34.68750000000001</x:v>
      </x:c>
      <x:c r="AA43" s="8" t="n">
        <x:v>52.70833333333334</x:v>
      </x:c>
      <x:c r="AB43" s="8" t="n">
        <x:v>87.39583333333334</x:v>
      </x:c>
      <x:c r="AC43" s="9" t="n">
        <x:v>2.1323401561622397</x:v>
      </x:c>
      <x:c r="AD43" t="str">
        <x:v>Passed all filters</x:v>
      </x:c>
      <x:c r="AE43" t="str">
        <x:v>True</x:v>
      </x:c>
      <x:c r="AF43" t="str">
        <x:v>https://finance.yahoo.com/quote/HINDALCO.NS</x:v>
      </x:c>
    </x:row>
    <x:row r="44">
      <x:c r="A44" t="str">
        <x:v>Hindustan Unilever Ltd.</x:v>
      </x:c>
      <x:c r="B44" t="str">
        <x:v>Fast Moving Consumer Goods</x:v>
      </x:c>
      <x:c r="C44" t="str">
        <x:v>HINDUNILVR</x:v>
      </x:c>
      <x:c r="D44" t="str">
        <x:v>EQ</x:v>
      </x:c>
      <x:c r="E44" t="str">
        <x:v>INE030A01027</x:v>
      </x:c>
      <x:c r="F44" t="str">
        <x:v>HINDUNILVR.NS</x:v>
      </x:c>
      <x:c r="G44" s="10" t="n">
        <x:v>2194.60009765625</x:v>
      </x:c>
      <x:c r="H44" s="6" t="n">
        <x:v>-0.025755309119092074</x:v>
      </x:c>
      <x:c r="I44" s="6" t="n">
        <x:v>0.2062222987145281</x:v>
      </x:c>
      <x:c r="J44" s="6" t="n">
        <x:v>-0.2318457099180946</x:v>
      </x:c>
      <x:c r="K44" t="n">
        <x:v>250</x:v>
      </x:c>
      <x:c r="L44" t="str">
        <x:v>2025-06-19</x:v>
      </x:c>
      <x:c r="M44" t="str">
        <x:v>2026-06-19</x:v>
      </x:c>
      <x:c r="N44"/>
      <x:c r="O44" s="5" t="n">
        <x:v>48.424538</x:v>
      </x:c>
      <x:c r="P44" s="7" t="n">
        <x:v>5156413374464</x:v>
      </x:c>
      <x:c r="Q44" s="7" t="n">
        <x:v>515641.3374464</x:v>
      </x:c>
      <x:c r="R44" t="str">
        <x:v>Consumer Defensive</x:v>
      </x:c>
      <x:c r="S44" t="str">
        <x:v>Household &amp; Personal Products</x:v>
      </x:c>
      <x:c r="T44" t="str">
        <x:v>INR</x:v>
      </x:c>
      <x:c r="U44"/>
      <x:c r="V44" t="str">
        <x:v>2026-06-19</x:v>
      </x:c>
      <x:c r="W44" t="str">
        <x:v>True</x:v>
      </x:c>
      <x:c r="X44" s="8" t="n">
        <x:v>33.33333333333333</x:v>
      </x:c>
      <x:c r="Y44" s="8" t="n">
        <x:v>33.33333333333333</x:v>
      </x:c>
      <x:c r="Z44" s="8" t="n">
        <x:v>14.999999999999998</x:v>
      </x:c>
      <x:c r="AA44" s="8" t="n">
        <x:v>18.333333333333332</x:v>
      </x:c>
      <x:c r="AB44" s="8" t="n">
        <x:v>33.33333333333333</x:v>
      </x:c>
      <x:c r="AC44" s="9" t="n">
        <x:v>-0.1248910000501204</x:v>
      </x:c>
      <x:c r="AD44" t="str">
        <x:v>P/E above 30; 1Y return below 10%</x:v>
      </x:c>
      <x:c r="AE44" t="str">
        <x:v>False</x:v>
      </x:c>
      <x:c r="AF44" t="str">
        <x:v>https://finance.yahoo.com/quote/HINDUNILVR.NS</x:v>
      </x:c>
    </x:row>
    <x:row r="45">
      <x:c r="A45" t="str">
        <x:v>Hindustan Zinc Ltd.</x:v>
      </x:c>
      <x:c r="B45" t="str">
        <x:v>Metals &amp; Mining</x:v>
      </x:c>
      <x:c r="C45" t="str">
        <x:v>HINDZINC</x:v>
      </x:c>
      <x:c r="D45" t="str">
        <x:v>EQ</x:v>
      </x:c>
      <x:c r="E45" t="str">
        <x:v>INE267A01025</x:v>
      </x:c>
      <x:c r="F45" t="str">
        <x:v>HINDZINC.NS</x:v>
      </x:c>
      <x:c r="G45" s="10" t="n">
        <x:v>563.5499877929688</x:v>
      </x:c>
      <x:c r="H45" s="6" t="n">
        <x:v>0.31179920607560097</x:v>
      </x:c>
      <x:c r="I45" s="6" t="n">
        <x:v>0.3638575303247108</x:v>
      </x:c>
      <x:c r="J45" s="6" t="n">
        <x:v>-0.3294141964433981</x:v>
      </x:c>
      <x:c r="K45" t="n">
        <x:v>250</x:v>
      </x:c>
      <x:c r="L45" t="str">
        <x:v>2025-06-19</x:v>
      </x:c>
      <x:c r="M45" t="str">
        <x:v>2026-06-19</x:v>
      </x:c>
      <x:c r="N45"/>
      <x:c r="O45" s="5" t="n">
        <x:v>17.21815</x:v>
      </x:c>
      <x:c r="P45" s="7" t="n">
        <x:v>2381178470400</x:v>
      </x:c>
      <x:c r="Q45" s="7" t="n">
        <x:v>238117.84704</x:v>
      </x:c>
      <x:c r="R45" t="str">
        <x:v>Basic Materials</x:v>
      </x:c>
      <x:c r="S45" t="str">
        <x:v>Other Industrial Metals &amp; Mining</x:v>
      </x:c>
      <x:c r="T45" t="str">
        <x:v>INR</x:v>
      </x:c>
      <x:c r="U45"/>
      <x:c r="V45" t="str">
        <x:v>2026-06-19</x:v>
      </x:c>
      <x:c r="W45" t="str">
        <x:v>True</x:v>
      </x:c>
      <x:c r="X45" s="8" t="n">
        <x:v>76.04166666666666</x:v>
      </x:c>
      <x:c r="Y45" s="8" t="n">
        <x:v>84.375</x:v>
      </x:c>
      <x:c r="Z45" s="8" t="n">
        <x:v>34.21875</x:v>
      </x:c>
      <x:c r="AA45" s="8" t="n">
        <x:v>46.40625000000001</x:v>
      </x:c>
      <x:c r="AB45" s="8" t="n">
        <x:v>80.625</x:v>
      </x:c>
      <x:c r="AC45" s="9" t="n">
        <x:v>0.8569266267413722</x:v>
      </x:c>
      <x:c r="AD45" t="str">
        <x:v>Passed all filters</x:v>
      </x:c>
      <x:c r="AE45" t="str">
        <x:v>True</x:v>
      </x:c>
      <x:c r="AF45" t="str">
        <x:v>https://finance.yahoo.com/quote/HINDZINC.NS</x:v>
      </x:c>
    </x:row>
    <x:row r="46">
      <x:c r="A46" t="str">
        <x:v>Hyundai Motor India Ltd.</x:v>
      </x:c>
      <x:c r="B46" t="str">
        <x:v>Automobile and Auto Components</x:v>
      </x:c>
      <x:c r="C46" t="str">
        <x:v>HYUNDAI</x:v>
      </x:c>
      <x:c r="D46" t="str">
        <x:v>EQ</x:v>
      </x:c>
      <x:c r="E46" t="str">
        <x:v>INE0V6F01027</x:v>
      </x:c>
      <x:c r="F46" t="str">
        <x:v>HYUNDAI.NS</x:v>
      </x:c>
      <x:c r="G46" s="10" t="n">
        <x:v>1973.199951171875</x:v>
      </x:c>
      <x:c r="H46" s="6" t="n">
        <x:v>0.04418832561249553</x:v>
      </x:c>
      <x:c r="I46" s="6" t="n">
        <x:v>0.3024306962604235</x:v>
      </x:c>
      <x:c r="J46" s="6" t="n">
        <x:v>-0.39792831131739903</x:v>
      </x:c>
      <x:c r="K46" t="n">
        <x:v>250</x:v>
      </x:c>
      <x:c r="L46" t="str">
        <x:v>2025-06-19</x:v>
      </x:c>
      <x:c r="M46" t="str">
        <x:v>2026-06-19</x:v>
      </x:c>
      <x:c r="N46"/>
      <x:c r="O46" s="5" t="n">
        <x:v>29.477142</x:v>
      </x:c>
      <x:c r="P46" s="7" t="n">
        <x:v>1603306127360</x:v>
      </x:c>
      <x:c r="Q46" s="7" t="n">
        <x:v>160330.612736</x:v>
      </x:c>
      <x:c r="R46" t="str">
        <x:v>Consumer Cyclical</x:v>
      </x:c>
      <x:c r="S46" t="str">
        <x:v>Auto Manufacturers</x:v>
      </x:c>
      <x:c r="T46" t="str">
        <x:v>INR</x:v>
      </x:c>
      <x:c r="U46"/>
      <x:c r="V46" t="str">
        <x:v>2026-06-19</x:v>
      </x:c>
      <x:c r="W46" t="str">
        <x:v>True</x:v>
      </x:c>
      <x:c r="X46" s="8" t="n">
        <x:v>53.125</x:v>
      </x:c>
      <x:c r="Y46" s="8" t="n">
        <x:v>45.83333333333333</x:v>
      </x:c>
      <x:c r="Z46" s="8" t="n">
        <x:v>23.90625</x:v>
      </x:c>
      <x:c r="AA46" s="8" t="n">
        <x:v>25.208333333333332</x:v>
      </x:c>
      <x:c r="AB46" s="8" t="n">
        <x:v>49.11458333333333</x:v>
      </x:c>
      <x:c r="AC46" s="9" t="n">
        <x:v>0.14611058387553655</x:v>
      </x:c>
      <x:c r="AD46" t="str">
        <x:v>1Y return below 10%</x:v>
      </x:c>
      <x:c r="AE46" t="str">
        <x:v>False</x:v>
      </x:c>
      <x:c r="AF46" t="str">
        <x:v>https://finance.yahoo.com/quote/HYUNDAI.NS</x:v>
      </x:c>
    </x:row>
    <x:row r="47">
      <x:c r="A47" t="str">
        <x:v>ICICI Bank Ltd.</x:v>
      </x:c>
      <x:c r="B47" t="str">
        <x:v>Financial Services</x:v>
      </x:c>
      <x:c r="C47" t="str">
        <x:v>ICICIBANK</x:v>
      </x:c>
      <x:c r="D47" t="str">
        <x:v>EQ</x:v>
      </x:c>
      <x:c r="E47" t="str">
        <x:v>INE090A01021</x:v>
      </x:c>
      <x:c r="F47" t="str">
        <x:v>ICICIBANK.NS</x:v>
      </x:c>
      <x:c r="G47" s="10" t="n">
        <x:v>1346.5</x:v>
      </x:c>
      <x:c r="H47" s="6" t="n">
        <x:v>-0.03855338409958475</x:v>
      </x:c>
      <x:c r="I47" s="6" t="n">
        <x:v>0.1837329202458534</x:v>
      </x:c>
      <x:c r="J47" s="6" t="n">
        <x:v>-0.18365924078670637</x:v>
      </x:c>
      <x:c r="K47" t="n">
        <x:v>250</x:v>
      </x:c>
      <x:c r="L47" t="str">
        <x:v>2025-06-19</x:v>
      </x:c>
      <x:c r="M47" t="str">
        <x:v>2026-06-19</x:v>
      </x:c>
      <x:c r="N47"/>
      <x:c r="O47" s="5" t="n">
        <x:v>18.02061</x:v>
      </x:c>
      <x:c r="P47" s="7" t="n">
        <x:v>9656754765824</x:v>
      </x:c>
      <x:c r="Q47" s="7" t="n">
        <x:v>965675.4765824</x:v>
      </x:c>
      <x:c r="R47" t="str">
        <x:v>Financial Services</x:v>
      </x:c>
      <x:c r="S47" t="str">
        <x:v>Banks - Regional</x:v>
      </x:c>
      <x:c r="T47" t="str">
        <x:v>INR</x:v>
      </x:c>
      <x:c r="U47"/>
      <x:c r="V47" t="str">
        <x:v>2026-06-19</x:v>
      </x:c>
      <x:c r="W47" t="str">
        <x:v>True</x:v>
      </x:c>
      <x:c r="X47" s="8" t="n">
        <x:v>72.91666666666666</x:v>
      </x:c>
      <x:c r="Y47" s="8" t="n">
        <x:v>30.208333333333332</x:v>
      </x:c>
      <x:c r="Z47" s="8" t="n">
        <x:v>32.8125</x:v>
      </x:c>
      <x:c r="AA47" s="8" t="n">
        <x:v>16.614583333333336</x:v>
      </x:c>
      <x:c r="AB47" s="8" t="n">
        <x:v>49.427083333333336</x:v>
      </x:c>
      <x:c r="AC47" s="9" t="n">
        <x:v>-0.20983383951006926</x:v>
      </x:c>
      <x:c r="AD47" t="str">
        <x:v>1Y return below 10%</x:v>
      </x:c>
      <x:c r="AE47" t="str">
        <x:v>False</x:v>
      </x:c>
      <x:c r="AF47" t="str">
        <x:v>https://finance.yahoo.com/quote/ICICIBANK.NS</x:v>
      </x:c>
    </x:row>
    <x:row r="48">
      <x:c r="A48" t="str">
        <x:v>Indian Hotels Co. Ltd.</x:v>
      </x:c>
      <x:c r="B48" t="str">
        <x:v>Consumer Services</x:v>
      </x:c>
      <x:c r="C48" t="str">
        <x:v>INDHOTEL</x:v>
      </x:c>
      <x:c r="D48" t="str">
        <x:v>EQ</x:v>
      </x:c>
      <x:c r="E48" t="str">
        <x:v>INE053A01029</x:v>
      </x:c>
      <x:c r="F48" t="str">
        <x:v>INDHOTEL.NS</x:v>
      </x:c>
      <x:c r="G48" s="10" t="n">
        <x:v>724.75</x:v>
      </x:c>
      <x:c r="H48" s="6" t="n">
        <x:v>-0.02732345090644428</x:v>
      </x:c>
      <x:c r="I48" s="6" t="n">
        <x:v>0.24608954932685678</x:v>
      </x:c>
      <x:c r="J48" s="6" t="n">
        <x:v>-0.2923276885899736</x:v>
      </x:c>
      <x:c r="K48" t="n">
        <x:v>250</x:v>
      </x:c>
      <x:c r="L48" t="str">
        <x:v>2025-06-19</x:v>
      </x:c>
      <x:c r="M48" t="str">
        <x:v>2026-06-19</x:v>
      </x:c>
      <x:c r="N48"/>
      <x:c r="O48" s="5" t="n">
        <x:v>49.47099</x:v>
      </x:c>
      <x:c r="P48" s="7" t="n">
        <x:v>1031632453632</x:v>
      </x:c>
      <x:c r="Q48" s="7" t="n">
        <x:v>103163.2453632</x:v>
      </x:c>
      <x:c r="R48" t="str">
        <x:v>Consumer Cyclical</x:v>
      </x:c>
      <x:c r="S48" t="str">
        <x:v>Lodging</x:v>
      </x:c>
      <x:c r="T48" t="str">
        <x:v>INR</x:v>
      </x:c>
      <x:c r="U48"/>
      <x:c r="V48" t="str">
        <x:v>2026-06-19</x:v>
      </x:c>
      <x:c r="W48" t="str">
        <x:v>True</x:v>
      </x:c>
      <x:c r="X48" s="8" t="n">
        <x:v>31.25</x:v>
      </x:c>
      <x:c r="Y48" s="8" t="n">
        <x:v>32.29166666666667</x:v>
      </x:c>
      <x:c r="Z48" s="8" t="n">
        <x:v>14.0625</x:v>
      </x:c>
      <x:c r="AA48" s="8" t="n">
        <x:v>17.76041666666667</x:v>
      </x:c>
      <x:c r="AB48" s="8" t="n">
        <x:v>31.82291666666667</x:v>
      </x:c>
      <x:c r="AC48" s="9" t="n">
        <x:v>-0.11103052113014844</x:v>
      </x:c>
      <x:c r="AD48" t="str">
        <x:v>P/E above 30; 1Y return below 10%</x:v>
      </x:c>
      <x:c r="AE48" t="str">
        <x:v>False</x:v>
      </x:c>
      <x:c r="AF48" t="str">
        <x:v>https://finance.yahoo.com/quote/INDHOTEL.NS</x:v>
      </x:c>
    </x:row>
    <x:row r="49">
      <x:c r="A49" t="str">
        <x:v>InterGlobe Aviation Ltd.</x:v>
      </x:c>
      <x:c r="B49" t="str">
        <x:v>Services</x:v>
      </x:c>
      <x:c r="C49" t="str">
        <x:v>INDIGO</x:v>
      </x:c>
      <x:c r="D49" t="str">
        <x:v>EQ</x:v>
      </x:c>
      <x:c r="E49" t="str">
        <x:v>INE646L01027</x:v>
      </x:c>
      <x:c r="F49" t="str">
        <x:v>INDIGO.NS</x:v>
      </x:c>
      <x:c r="G49" s="10" t="n">
        <x:v>5021.5</x:v>
      </x:c>
      <x:c r="H49" s="6" t="n">
        <x:v>-0.045724536309307506</x:v>
      </x:c>
      <x:c r="I49" s="6" t="n">
        <x:v>0.32489049193312175</x:v>
      </x:c>
      <x:c r="J49" s="6" t="n">
        <x:v>-0.35935342376736257</x:v>
      </x:c>
      <x:c r="K49" t="n">
        <x:v>249</x:v>
      </x:c>
      <x:c r="L49" t="str">
        <x:v>2025-06-19</x:v>
      </x:c>
      <x:c r="M49" t="str">
        <x:v>2026-06-19</x:v>
      </x:c>
      <x:c r="N49"/>
      <x:c r="O49" s="5"/>
      <x:c r="P49" s="7" t="n">
        <x:v>1941600600064</x:v>
      </x:c>
      <x:c r="Q49" s="7" t="n">
        <x:v>194160.0600064</x:v>
      </x:c>
      <x:c r="R49" t="str">
        <x:v>Industrials</x:v>
      </x:c>
      <x:c r="S49" t="str">
        <x:v>Airlines</x:v>
      </x:c>
      <x:c r="T49" t="str">
        <x:v>INR</x:v>
      </x:c>
      <x:c r="U49"/>
      <x:c r="V49" t="str">
        <x:v>2026-06-19</x:v>
      </x:c>
      <x:c r="W49" t="str">
        <x:v>False</x:v>
      </x:c>
      <x:c r="X49" s="8"/>
      <x:c r="Y49" s="8"/>
      <x:c r="Z49" s="8"/>
      <x:c r="AA49" s="8"/>
      <x:c r="AB49" s="8"/>
      <x:c r="AC49" s="9" t="n">
        <x:v>-0.14073830242689847</x:v>
      </x:c>
      <x:c r="AD49" t="str">
        <x:v>Missing trailing P/E; 1Y return below 10%</x:v>
      </x:c>
      <x:c r="AE49" t="str">
        <x:v>False</x:v>
      </x:c>
      <x:c r="AF49" t="str">
        <x:v>https://finance.yahoo.com/quote/INDIGO.NS</x:v>
      </x:c>
    </x:row>
    <x:row r="50">
      <x:c r="A50" t="str">
        <x:v>Infosys Ltd.</x:v>
      </x:c>
      <x:c r="B50" t="str">
        <x:v>Information Technology</x:v>
      </x:c>
      <x:c r="C50" t="str">
        <x:v>INFY</x:v>
      </x:c>
      <x:c r="D50" t="str">
        <x:v>EQ</x:v>
      </x:c>
      <x:c r="E50" t="str">
        <x:v>INE009A01021</x:v>
      </x:c>
      <x:c r="F50" t="str">
        <x:v>INFY.NS</x:v>
      </x:c>
      <x:c r="G50" s="10" t="n">
        <x:v>1051.4000244140625</x:v>
      </x:c>
      <x:c r="H50" s="6" t="n">
        <x:v>-0.32612723739338745</x:v>
      </x:c>
      <x:c r="I50" s="6" t="n">
        <x:v>0.27600559029331995</x:v>
      </x:c>
      <x:c r="J50" s="6" t="n">
        <x:v>-0.36433207504614884</x:v>
      </x:c>
      <x:c r="K50" t="n">
        <x:v>250</x:v>
      </x:c>
      <x:c r="L50" t="str">
        <x:v>2025-06-19</x:v>
      </x:c>
      <x:c r="M50" t="str">
        <x:v>2026-06-19</x:v>
      </x:c>
      <x:c r="N50"/>
      <x:c r="O50" s="5" t="n">
        <x:v>13.825115</x:v>
      </x:c>
      <x:c r="P50" s="7" t="n">
        <x:v>4256703447040</x:v>
      </x:c>
      <x:c r="Q50" s="7" t="n">
        <x:v>425670.344704</x:v>
      </x:c>
      <x:c r="R50" t="str">
        <x:v>Technology</x:v>
      </x:c>
      <x:c r="S50" t="str">
        <x:v>Information Technology Services</x:v>
      </x:c>
      <x:c r="T50" t="str">
        <x:v>INR</x:v>
      </x:c>
      <x:c r="U50"/>
      <x:c r="V50" t="str">
        <x:v>2026-06-19</x:v>
      </x:c>
      <x:c r="W50" t="str">
        <x:v>True</x:v>
      </x:c>
      <x:c r="X50" s="8" t="n">
        <x:v>85.41666666666666</x:v>
      </x:c>
      <x:c r="Y50" s="8" t="n">
        <x:v>4.166666666666666</x:v>
      </x:c>
      <x:c r="Z50" s="8" t="n">
        <x:v>38.4375</x:v>
      </x:c>
      <x:c r="AA50" s="8" t="n">
        <x:v>2.2916666666666665</x:v>
      </x:c>
      <x:c r="AB50" s="8" t="n">
        <x:v>40.729166666666664</x:v>
      </x:c>
      <x:c r="AC50" s="9" t="n">
        <x:v>-1.1815964924724953</x:v>
      </x:c>
      <x:c r="AD50" t="str">
        <x:v>1Y return below 10%</x:v>
      </x:c>
      <x:c r="AE50" t="str">
        <x:v>False</x:v>
      </x:c>
      <x:c r="AF50" t="str">
        <x:v>https://finance.yahoo.com/quote/INFY.NS</x:v>
      </x:c>
    </x:row>
    <x:row r="51">
      <x:c r="A51" t="str">
        <x:v>Indian Oil Corporation Ltd.</x:v>
      </x:c>
      <x:c r="B51" t="str">
        <x:v>Oil Gas &amp; Consumable Fuels</x:v>
      </x:c>
      <x:c r="C51" t="str">
        <x:v>IOC</x:v>
      </x:c>
      <x:c r="D51" t="str">
        <x:v>EQ</x:v>
      </x:c>
      <x:c r="E51" t="str">
        <x:v>INE242A01010</x:v>
      </x:c>
      <x:c r="F51" t="str">
        <x:v>IOC.NS</x:v>
      </x:c>
      <x:c r="G51" s="10" t="n">
        <x:v>143.42999267578125</x:v>
      </x:c>
      <x:c r="H51" s="6" t="n">
        <x:v>0.10281639824132771</x:v>
      </x:c>
      <x:c r="I51" s="6" t="n">
        <x:v>0.2583808094254801</x:v>
      </x:c>
      <x:c r="J51" s="6" t="n">
        <x:v>-0.288036217735986</x:v>
      </x:c>
      <x:c r="K51" t="n">
        <x:v>250</x:v>
      </x:c>
      <x:c r="L51" t="str">
        <x:v>2025-06-19</x:v>
      </x:c>
      <x:c r="M51" t="str">
        <x:v>2026-06-19</x:v>
      </x:c>
      <x:c r="N51"/>
      <x:c r="O51" s="5" t="n">
        <x:v>4.6918545</x:v>
      </x:c>
      <x:c r="P51" s="7" t="n">
        <x:v>2025409085440</x:v>
      </x:c>
      <x:c r="Q51" s="7" t="n">
        <x:v>202540.908544</x:v>
      </x:c>
      <x:c r="R51" t="str">
        <x:v>Energy</x:v>
      </x:c>
      <x:c r="S51" t="str">
        <x:v>Oil &amp; Gas Refining &amp; Marketing</x:v>
      </x:c>
      <x:c r="T51" t="str">
        <x:v>INR</x:v>
      </x:c>
      <x:c r="U51"/>
      <x:c r="V51" t="str">
        <x:v>2026-06-19</x:v>
      </x:c>
      <x:c r="W51" t="str">
        <x:v>True</x:v>
      </x:c>
      <x:c r="X51" s="8" t="n">
        <x:v>100</x:v>
      </x:c>
      <x:c r="Y51" s="8" t="n">
        <x:v>56.25</x:v>
      </x:c>
      <x:c r="Z51" s="8" t="n">
        <x:v>45</x:v>
      </x:c>
      <x:c r="AA51" s="8" t="n">
        <x:v>30.937500000000004</x:v>
      </x:c>
      <x:c r="AB51" s="8" t="n">
        <x:v>75.9375</x:v>
      </x:c>
      <x:c r="AC51" s="9" t="n">
        <x:v>0.397925830753236</x:v>
      </x:c>
      <x:c r="AD51" t="str">
        <x:v>Passed all filters</x:v>
      </x:c>
      <x:c r="AE51" t="str">
        <x:v>True</x:v>
      </x:c>
      <x:c r="AF51" t="str">
        <x:v>https://finance.yahoo.com/quote/IOC.NS</x:v>
      </x:c>
    </x:row>
    <x:row r="52">
      <x:c r="A52" t="str">
        <x:v>Indian Railway Finance Corporation Ltd.</x:v>
      </x:c>
      <x:c r="B52" t="str">
        <x:v>Financial Services</x:v>
      </x:c>
      <x:c r="C52" t="str">
        <x:v>IRFC</x:v>
      </x:c>
      <x:c r="D52" t="str">
        <x:v>EQ</x:v>
      </x:c>
      <x:c r="E52" t="str">
        <x:v>INE053F01010</x:v>
      </x:c>
      <x:c r="F52" t="str">
        <x:v>IRFC.NS</x:v>
      </x:c>
      <x:c r="G52" s="10" t="n">
        <x:v>99.51000213623047</x:v>
      </x:c>
      <x:c r="H52" s="6" t="n">
        <x:v>-0.23371393710343902</x:v>
      </x:c>
      <x:c r="I52" s="6" t="n">
        <x:v>0.2811349725822195</x:v>
      </x:c>
      <x:c r="J52" s="6" t="n">
        <x:v>-0.37268896894030434</x:v>
      </x:c>
      <x:c r="K52" t="n">
        <x:v>250</x:v>
      </x:c>
      <x:c r="L52" t="str">
        <x:v>2025-06-19</x:v>
      </x:c>
      <x:c r="M52" t="str">
        <x:v>2026-06-19</x:v>
      </x:c>
      <x:c r="N52"/>
      <x:c r="O52" s="5" t="n">
        <x:v>18.565298</x:v>
      </x:c>
      <x:c r="P52" s="7" t="n">
        <x:v>1300447100928</x:v>
      </x:c>
      <x:c r="Q52" s="7" t="n">
        <x:v>130044.7100928</x:v>
      </x:c>
      <x:c r="R52" t="str">
        <x:v>Financial Services</x:v>
      </x:c>
      <x:c r="S52" t="str">
        <x:v>Credit Services</x:v>
      </x:c>
      <x:c r="T52" t="str">
        <x:v>INR</x:v>
      </x:c>
      <x:c r="U52"/>
      <x:c r="V52" t="str">
        <x:v>2026-06-19</x:v>
      </x:c>
      <x:c r="W52" t="str">
        <x:v>True</x:v>
      </x:c>
      <x:c r="X52" s="8" t="n">
        <x:v>70.83333333333334</x:v>
      </x:c>
      <x:c r="Y52" s="8" t="n">
        <x:v>11.458333333333332</x:v>
      </x:c>
      <x:c r="Z52" s="8" t="n">
        <x:v>31.875000000000004</x:v>
      </x:c>
      <x:c r="AA52" s="8" t="n">
        <x:v>6.302083333333333</x:v>
      </x:c>
      <x:c r="AB52" s="8" t="n">
        <x:v>38.177083333333336</x:v>
      </x:c>
      <x:c r="AC52" s="9" t="n">
        <x:v>-0.8313228872124334</x:v>
      </x:c>
      <x:c r="AD52" t="str">
        <x:v>1Y return below 10%</x:v>
      </x:c>
      <x:c r="AE52" t="str">
        <x:v>False</x:v>
      </x:c>
      <x:c r="AF52" t="str">
        <x:v>https://finance.yahoo.com/quote/IRFC.NS</x:v>
      </x:c>
    </x:row>
    <x:row r="53">
      <x:c r="A53" t="str">
        <x:v>ITC Ltd.</x:v>
      </x:c>
      <x:c r="B53" t="str">
        <x:v>Fast Moving Consumer Goods</x:v>
      </x:c>
      <x:c r="C53" t="str">
        <x:v>ITC</x:v>
      </x:c>
      <x:c r="D53" t="str">
        <x:v>EQ</x:v>
      </x:c>
      <x:c r="E53" t="str">
        <x:v>INE154A01025</x:v>
      </x:c>
      <x:c r="F53" t="str">
        <x:v>ITC.NS</x:v>
      </x:c>
      <x:c r="G53" s="10" t="n">
        <x:v>292.5</x:v>
      </x:c>
      <x:c r="H53" s="6" t="n">
        <x:v>-0.26258227305838355</x:v>
      </x:c>
      <x:c r="I53" s="6" t="n">
        <x:v>0.19135462738462058</x:v>
      </x:c>
      <x:c r="J53" s="6" t="n">
        <x:v>-0.3158035656136102</x:v>
      </x:c>
      <x:c r="K53" t="n">
        <x:v>250</x:v>
      </x:c>
      <x:c r="L53" t="str">
        <x:v>2025-06-19</x:v>
      </x:c>
      <x:c r="M53" t="str">
        <x:v>2026-06-19</x:v>
      </x:c>
      <x:c r="N53"/>
      <x:c r="O53" s="5" t="n">
        <x:v>17.716536</x:v>
      </x:c>
      <x:c r="P53" s="7" t="n">
        <x:v>3664869588992</x:v>
      </x:c>
      <x:c r="Q53" s="7" t="n">
        <x:v>366486.9588992</x:v>
      </x:c>
      <x:c r="R53" t="str">
        <x:v>Consumer Defensive</x:v>
      </x:c>
      <x:c r="S53" t="str">
        <x:v>Tobacco</x:v>
      </x:c>
      <x:c r="T53" t="str">
        <x:v>INR</x:v>
      </x:c>
      <x:c r="U53"/>
      <x:c r="V53" t="str">
        <x:v>2026-06-19</x:v>
      </x:c>
      <x:c r="W53" t="str">
        <x:v>True</x:v>
      </x:c>
      <x:c r="X53" s="8" t="n">
        <x:v>73.95833333333334</x:v>
      </x:c>
      <x:c r="Y53" s="8" t="n">
        <x:v>9.375</x:v>
      </x:c>
      <x:c r="Z53" s="8" t="n">
        <x:v>33.28125000000001</x:v>
      </x:c>
      <x:c r="AA53" s="8" t="n">
        <x:v>5.15625</x:v>
      </x:c>
      <x:c r="AB53" s="8" t="n">
        <x:v>38.43750000000001</x:v>
      </x:c>
      <x:c r="AC53" s="9" t="n">
        <x:v>-1.3722284987161362</x:v>
      </x:c>
      <x:c r="AD53" t="str">
        <x:v>1Y return below 10%</x:v>
      </x:c>
      <x:c r="AE53" t="str">
        <x:v>False</x:v>
      </x:c>
      <x:c r="AF53" t="str">
        <x:v>https://finance.yahoo.com/quote/ITC.NS</x:v>
      </x:c>
    </x:row>
    <x:row r="54">
      <x:c r="A54" t="str">
        <x:v>Jindal Steel Ltd.</x:v>
      </x:c>
      <x:c r="B54" t="str">
        <x:v>Metals &amp; Mining</x:v>
      </x:c>
      <x:c r="C54" t="str">
        <x:v>JINDALSTEL</x:v>
      </x:c>
      <x:c r="D54" t="str">
        <x:v>EQ</x:v>
      </x:c>
      <x:c r="E54" t="str">
        <x:v>INE749A01030</x:v>
      </x:c>
      <x:c r="F54" t="str">
        <x:v>JINDALSTEL.NS</x:v>
      </x:c>
      <x:c r="G54" s="10" t="n">
        <x:v>1137.699951171875</x:v>
      </x:c>
      <x:c r="H54" s="6" t="n">
        <x:v>0.28453091348175175</x:v>
      </x:c>
      <x:c r="I54" s="6" t="n">
        <x:v>0.2773361139990497</x:v>
      </x:c>
      <x:c r="J54" s="6" t="n">
        <x:v>-0.13012109473046118</x:v>
      </x:c>
      <x:c r="K54" t="n">
        <x:v>250</x:v>
      </x:c>
      <x:c r="L54" t="str">
        <x:v>2025-06-19</x:v>
      </x:c>
      <x:c r="M54" t="str">
        <x:v>2026-06-19</x:v>
      </x:c>
      <x:c r="N54"/>
      <x:c r="O54" s="5" t="n">
        <x:v>34.299065</x:v>
      </x:c>
      <x:c r="P54" s="7" t="n">
        <x:v>1157596184576</x:v>
      </x:c>
      <x:c r="Q54" s="7" t="n">
        <x:v>115759.6184576</x:v>
      </x:c>
      <x:c r="R54" t="str">
        <x:v>Basic Materials</x:v>
      </x:c>
      <x:c r="S54" t="str">
        <x:v>Steel</x:v>
      </x:c>
      <x:c r="T54" t="str">
        <x:v>INR</x:v>
      </x:c>
      <x:c r="U54"/>
      <x:c r="V54" t="str">
        <x:v>2026-06-19</x:v>
      </x:c>
      <x:c r="W54" t="str">
        <x:v>True</x:v>
      </x:c>
      <x:c r="X54" s="8" t="n">
        <x:v>48.95833333333333</x:v>
      </x:c>
      <x:c r="Y54" s="8" t="n">
        <x:v>81.25</x:v>
      </x:c>
      <x:c r="Z54" s="8" t="n">
        <x:v>22.03125</x:v>
      </x:c>
      <x:c r="AA54" s="8" t="n">
        <x:v>44.68750000000001</x:v>
      </x:c>
      <x:c r="AB54" s="8" t="n">
        <x:v>66.71875</x:v>
      </x:c>
      <x:c r="AC54" s="9" t="n">
        <x:v>1.0259425264851252</x:v>
      </x:c>
      <x:c r="AD54" t="str">
        <x:v>P/E above 30</x:v>
      </x:c>
      <x:c r="AE54" t="str">
        <x:v>False</x:v>
      </x:c>
      <x:c r="AF54" t="str">
        <x:v>https://finance.yahoo.com/quote/JINDALSTEL.NS</x:v>
      </x:c>
    </x:row>
    <x:row r="55">
      <x:c r="A55" t="str">
        <x:v>Jio Financial Services Ltd.</x:v>
      </x:c>
      <x:c r="B55" t="str">
        <x:v>Financial Services</x:v>
      </x:c>
      <x:c r="C55" t="str">
        <x:v>JIOFIN</x:v>
      </x:c>
      <x:c r="D55" t="str">
        <x:v>EQ</x:v>
      </x:c>
      <x:c r="E55" t="str">
        <x:v>INE758E01017</x:v>
      </x:c>
      <x:c r="F55" t="str">
        <x:v>JIOFIN.NS</x:v>
      </x:c>
      <x:c r="G55" s="10" t="n">
        <x:v>244.4499969482422</x:v>
      </x:c>
      <x:c r="H55" s="6" t="n">
        <x:v>-0.13822184112892077</x:v>
      </x:c>
      <x:c r="I55" s="6" t="n">
        <x:v>0.2696810737801595</x:v>
      </x:c>
      <x:c r="J55" s="6" t="n">
        <x:v>-0.32779434649676864</x:v>
      </x:c>
      <x:c r="K55" t="n">
        <x:v>250</x:v>
      </x:c>
      <x:c r="L55" t="str">
        <x:v>2025-06-19</x:v>
      </x:c>
      <x:c r="M55" t="str">
        <x:v>2026-06-19</x:v>
      </x:c>
      <x:c r="N55"/>
      <x:c r="O55" s="5" t="n">
        <x:v>101.01239</x:v>
      </x:c>
      <x:c r="P55" s="7" t="n">
        <x:v>1614137917440</x:v>
      </x:c>
      <x:c r="Q55" s="7" t="n">
        <x:v>161413.791744</x:v>
      </x:c>
      <x:c r="R55" t="str">
        <x:v>Financial Services</x:v>
      </x:c>
      <x:c r="S55" t="str">
        <x:v>Asset Management</x:v>
      </x:c>
      <x:c r="T55" t="str">
        <x:v>INR</x:v>
      </x:c>
      <x:c r="U55"/>
      <x:c r="V55" t="str">
        <x:v>2026-06-19</x:v>
      </x:c>
      <x:c r="W55" t="str">
        <x:v>True</x:v>
      </x:c>
      <x:c r="X55" s="8" t="n">
        <x:v>5.208333333333334</x:v>
      </x:c>
      <x:c r="Y55" s="8" t="n">
        <x:v>20.833333333333336</x:v>
      </x:c>
      <x:c r="Z55" s="8" t="n">
        <x:v>2.3437500000000004</x:v>
      </x:c>
      <x:c r="AA55" s="8" t="n">
        <x:v>11.458333333333336</x:v>
      </x:c>
      <x:c r="AB55" s="8" t="n">
        <x:v>13.802083333333336</x:v>
      </x:c>
      <x:c r="AC55" s="9" t="n">
        <x:v>-0.512538159209487</x:v>
      </x:c>
      <x:c r="AD55" t="str">
        <x:v>P/E above 30; 1Y return below 10%</x:v>
      </x:c>
      <x:c r="AE55" t="str">
        <x:v>False</x:v>
      </x:c>
      <x:c r="AF55" t="str">
        <x:v>https://finance.yahoo.com/quote/JIOFIN.NS</x:v>
      </x:c>
    </x:row>
    <x:row r="56">
      <x:c r="A56" t="str">
        <x:v>JSW Steel Ltd.</x:v>
      </x:c>
      <x:c r="B56" t="str">
        <x:v>Metals &amp; Mining</x:v>
      </x:c>
      <x:c r="C56" t="str">
        <x:v>JSWSTEEL</x:v>
      </x:c>
      <x:c r="D56" t="str">
        <x:v>EQ</x:v>
      </x:c>
      <x:c r="E56" t="str">
        <x:v>INE019A01038</x:v>
      </x:c>
      <x:c r="F56" t="str">
        <x:v>JSWSTEEL.NS</x:v>
      </x:c>
      <x:c r="G56" s="10" t="n">
        <x:v>1287.699951171875</x:v>
      </x:c>
      <x:c r="H56" s="6" t="n">
        <x:v>0.29628785823266646</x:v>
      </x:c>
      <x:c r="I56" s="6" t="n">
        <x:v>0.2312149897788631</x:v>
      </x:c>
      <x:c r="J56" s="6" t="n">
        <x:v>-0.13353115981574115</x:v>
      </x:c>
      <x:c r="K56" t="n">
        <x:v>250</x:v>
      </x:c>
      <x:c r="L56" t="str">
        <x:v>2025-06-19</x:v>
      </x:c>
      <x:c r="M56" t="str">
        <x:v>2026-06-19</x:v>
      </x:c>
      <x:c r="N56"/>
      <x:c r="O56" s="5" t="n">
        <x:v>14.113327</x:v>
      </x:c>
      <x:c r="P56" s="7" t="n">
        <x:v>3143052558336</x:v>
      </x:c>
      <x:c r="Q56" s="7" t="n">
        <x:v>314305.2558336</x:v>
      </x:c>
      <x:c r="R56" t="str">
        <x:v>Basic Materials</x:v>
      </x:c>
      <x:c r="S56" t="str">
        <x:v>Steel</x:v>
      </x:c>
      <x:c r="T56" t="str">
        <x:v>INR</x:v>
      </x:c>
      <x:c r="U56"/>
      <x:c r="V56" t="str">
        <x:v>2026-06-19</x:v>
      </x:c>
      <x:c r="W56" t="str">
        <x:v>True</x:v>
      </x:c>
      <x:c r="X56" s="8" t="n">
        <x:v>84.375</x:v>
      </x:c>
      <x:c r="Y56" s="8" t="n">
        <x:v>82.29166666666666</x:v>
      </x:c>
      <x:c r="Z56" s="8" t="n">
        <x:v>37.96875</x:v>
      </x:c>
      <x:c r="AA56" s="8" t="n">
        <x:v>45.260416666666664</x:v>
      </x:c>
      <x:c r="AB56" s="8" t="n">
        <x:v>83.22916666666666</x:v>
      </x:c>
      <x:c r="AC56" s="9" t="n">
        <x:v>1.2814387964899674</x:v>
      </x:c>
      <x:c r="AD56" t="str">
        <x:v>Passed all filters</x:v>
      </x:c>
      <x:c r="AE56" t="str">
        <x:v>True</x:v>
      </x:c>
      <x:c r="AF56" t="str">
        <x:v>https://finance.yahoo.com/quote/JSWSTEEL.NS</x:v>
      </x:c>
    </x:row>
    <x:row r="57">
      <x:c r="A57" t="str">
        <x:v>Kotak Mahindra Bank Ltd.</x:v>
      </x:c>
      <x:c r="B57" t="str">
        <x:v>Financial Services</x:v>
      </x:c>
      <x:c r="C57" t="str">
        <x:v>KOTAKBANK</x:v>
      </x:c>
      <x:c r="D57" t="str">
        <x:v>EQ</x:v>
      </x:c>
      <x:c r="E57" t="str">
        <x:v>INE237A01036</x:v>
      </x:c>
      <x:c r="F57" t="str">
        <x:v>KOTAKBANK.NS</x:v>
      </x:c>
      <x:c r="G57" s="10" t="n">
        <x:v>399.25</x:v>
      </x:c>
      <x:c r="H57" s="6" t="n">
        <x:v>-0.06888207408048486</x:v>
      </x:c>
      <x:c r="I57" s="6" t="n">
        <x:v>0.21213222295925013</x:v>
      </x:c>
      <x:c r="J57" s="6" t="n">
        <x:v>-0.20646064942269005</x:v>
      </x:c>
      <x:c r="K57" t="n">
        <x:v>250</x:v>
      </x:c>
      <x:c r="L57" t="str">
        <x:v>2025-06-19</x:v>
      </x:c>
      <x:c r="M57" t="str">
        <x:v>2026-06-19</x:v>
      </x:c>
      <x:c r="N57"/>
      <x:c r="O57" s="5" t="n">
        <x:v>20.61177</x:v>
      </x:c>
      <x:c r="P57" s="7" t="n">
        <x:v>3971126132736</x:v>
      </x:c>
      <x:c r="Q57" s="7" t="n">
        <x:v>397112.6132736</x:v>
      </x:c>
      <x:c r="R57" t="str">
        <x:v>Financial Services</x:v>
      </x:c>
      <x:c r="S57" t="str">
        <x:v>Banks - Regional</x:v>
      </x:c>
      <x:c r="T57" t="str">
        <x:v>INR</x:v>
      </x:c>
      <x:c r="U57"/>
      <x:c r="V57" t="str">
        <x:v>2026-06-19</x:v>
      </x:c>
      <x:c r="W57" t="str">
        <x:v>True</x:v>
      </x:c>
      <x:c r="X57" s="8" t="n">
        <x:v>67.70833333333334</x:v>
      </x:c>
      <x:c r="Y57" s="8" t="n">
        <x:v>27.083333333333332</x:v>
      </x:c>
      <x:c r="Z57" s="8" t="n">
        <x:v>30.468750000000004</x:v>
      </x:c>
      <x:c r="AA57" s="8" t="n">
        <x:v>14.895833333333334</x:v>
      </x:c>
      <x:c r="AB57" s="8" t="n">
        <x:v>45.364583333333336</x:v>
      </x:c>
      <x:c r="AC57" s="9" t="n">
        <x:v>-0.324712922532834</x:v>
      </x:c>
      <x:c r="AD57" t="str">
        <x:v>1Y return below 10%</x:v>
      </x:c>
      <x:c r="AE57" t="str">
        <x:v>False</x:v>
      </x:c>
      <x:c r="AF57" t="str">
        <x:v>https://finance.yahoo.com/quote/KOTAKBANK.NS</x:v>
      </x:c>
    </x:row>
    <x:row r="58">
      <x:c r="A58" t="str">
        <x:v>Lodha Developers Ltd.</x:v>
      </x:c>
      <x:c r="B58" t="str">
        <x:v>Realty</x:v>
      </x:c>
      <x:c r="C58" t="str">
        <x:v>LODHA</x:v>
      </x:c>
      <x:c r="D58" t="str">
        <x:v>EQ</x:v>
      </x:c>
      <x:c r="E58" t="str">
        <x:v>INE670K01029</x:v>
      </x:c>
      <x:c r="F58" t="str">
        <x:v>LODHA.NS</x:v>
      </x:c>
      <x:c r="G58" s="10" t="n">
        <x:v>918.1500244140625</x:v>
      </x:c>
      <x:c r="H58" s="6" t="n">
        <x:v>-0.3537418093065833</x:v>
      </x:c>
      <x:c r="I58" s="6" t="n">
        <x:v>0.34342667084556194</x:v>
      </x:c>
      <x:c r="J58" s="6" t="n">
        <x:v>-0.5420499064651163</x:v>
      </x:c>
      <x:c r="K58" t="n">
        <x:v>250</x:v>
      </x:c>
      <x:c r="L58" t="str">
        <x:v>2025-06-19</x:v>
      </x:c>
      <x:c r="M58" t="str">
        <x:v>2026-06-19</x:v>
      </x:c>
      <x:c r="N58"/>
      <x:c r="O58" s="5" t="n">
        <x:v>26.815128</x:v>
      </x:c>
      <x:c r="P58" s="7" t="n">
        <x:v>917153972224</x:v>
      </x:c>
      <x:c r="Q58" s="7" t="n">
        <x:v>91715.3972224</x:v>
      </x:c>
      <x:c r="R58" t="str">
        <x:v>Real Estate</x:v>
      </x:c>
      <x:c r="S58" t="str">
        <x:v>Real Estate - Development</x:v>
      </x:c>
      <x:c r="T58" t="str">
        <x:v>INR</x:v>
      </x:c>
      <x:c r="U58"/>
      <x:c r="V58" t="str">
        <x:v>2026-06-19</x:v>
      </x:c>
      <x:c r="W58" t="str">
        <x:v>True</x:v>
      </x:c>
      <x:c r="X58" s="8" t="n">
        <x:v>58.333333333333336</x:v>
      </x:c>
      <x:c r="Y58" s="8" t="n">
        <x:v>3.125</x:v>
      </x:c>
      <x:c r="Z58" s="8" t="n">
        <x:v>26.25</x:v>
      </x:c>
      <x:c r="AA58" s="8" t="n">
        <x:v>1.7187500000000002</x:v>
      </x:c>
      <x:c r="AB58" s="8" t="n">
        <x:v>27.96875</x:v>
      </x:c>
      <x:c r="AC58" s="9" t="n">
        <x:v>-1.030035927132928</x:v>
      </x:c>
      <x:c r="AD58" t="str">
        <x:v>1Y return below 10%</x:v>
      </x:c>
      <x:c r="AE58" t="str">
        <x:v>False</x:v>
      </x:c>
      <x:c r="AF58" t="str">
        <x:v>https://finance.yahoo.com/quote/LODHA.NS</x:v>
      </x:c>
    </x:row>
    <x:row r="59">
      <x:c r="A59" t="str">
        <x:v>Larsen &amp; Toubro Ltd.</x:v>
      </x:c>
      <x:c r="B59" t="str">
        <x:v>Construction</x:v>
      </x:c>
      <x:c r="C59" t="str">
        <x:v>LT</x:v>
      </x:c>
      <x:c r="D59" t="str">
        <x:v>EQ</x:v>
      </x:c>
      <x:c r="E59" t="str">
        <x:v>INE018A01030</x:v>
      </x:c>
      <x:c r="F59" t="str">
        <x:v>LT.NS</x:v>
      </x:c>
      <x:c r="G59" s="10" t="n">
        <x:v>4209.39990234375</x:v>
      </x:c>
      <x:c r="H59" s="6" t="n">
        <x:v>0.1738185599975164</x:v>
      </x:c>
      <x:c r="I59" s="6" t="n">
        <x:v>0.25062590493115855</x:v>
      </x:c>
      <x:c r="J59" s="6" t="n">
        <x:v>-0.2434757106160581</x:v>
      </x:c>
      <x:c r="K59" t="n">
        <x:v>250</x:v>
      </x:c>
      <x:c r="L59" t="str">
        <x:v>2025-06-19</x:v>
      </x:c>
      <x:c r="M59" t="str">
        <x:v>2026-06-19</x:v>
      </x:c>
      <x:c r="N59"/>
      <x:c r="O59" s="5" t="n">
        <x:v>36.039383</x:v>
      </x:c>
      <x:c r="P59" s="7" t="n">
        <x:v>5790737891328</x:v>
      </x:c>
      <x:c r="Q59" s="7" t="n">
        <x:v>579073.7891328</x:v>
      </x:c>
      <x:c r="R59" t="str">
        <x:v>Industrials</x:v>
      </x:c>
      <x:c r="S59" t="str">
        <x:v>Engineering &amp; Construction</x:v>
      </x:c>
      <x:c r="T59" t="str">
        <x:v>INR</x:v>
      </x:c>
      <x:c r="U59"/>
      <x:c r="V59" t="str">
        <x:v>2026-06-19</x:v>
      </x:c>
      <x:c r="W59" t="str">
        <x:v>True</x:v>
      </x:c>
      <x:c r="X59" s="8" t="n">
        <x:v>44.79166666666667</x:v>
      </x:c>
      <x:c r="Y59" s="8" t="n">
        <x:v>66.66666666666666</x:v>
      </x:c>
      <x:c r="Z59" s="8" t="n">
        <x:v>20.156250000000004</x:v>
      </x:c>
      <x:c r="AA59" s="8" t="n">
        <x:v>36.666666666666664</x:v>
      </x:c>
      <x:c r="AB59" s="8" t="n">
        <x:v>56.82291666666667</x:v>
      </x:c>
      <x:c r="AC59" s="9" t="n">
        <x:v>0.6935378848617446</x:v>
      </x:c>
      <x:c r="AD59" t="str">
        <x:v>P/E above 30</x:v>
      </x:c>
      <x:c r="AE59" t="str">
        <x:v>False</x:v>
      </x:c>
      <x:c r="AF59" t="str">
        <x:v>https://finance.yahoo.com/quote/LT.NS</x:v>
      </x:c>
    </x:row>
    <x:row r="60">
      <x:c r="A60" t="str">
        <x:v>LTM Ltd.</x:v>
      </x:c>
      <x:c r="B60" t="str">
        <x:v>Information Technology</x:v>
      </x:c>
      <x:c r="C60" t="str">
        <x:v>LTM</x:v>
      </x:c>
      <x:c r="D60" t="str">
        <x:v>EQ</x:v>
      </x:c>
      <x:c r="E60" t="str">
        <x:v>INE214T01019</x:v>
      </x:c>
      <x:c r="F60" t="str">
        <x:v>LTM.NS</x:v>
      </x:c>
      <x:c r="G60" s="10" t="n">
        <x:v>3832.5</x:v>
      </x:c>
      <x:c r="H60" s="6" t="n">
        <x:v>-0.2736340590644296</x:v>
      </x:c>
      <x:c r="I60" s="6" t="n">
        <x:v>0.2966521437976667</x:v>
      </x:c>
      <x:c r="J60" s="6" t="n">
        <x:v>-0.3950118527829828</x:v>
      </x:c>
      <x:c r="K60" t="n">
        <x:v>250</x:v>
      </x:c>
      <x:c r="L60" t="str">
        <x:v>2025-06-19</x:v>
      </x:c>
      <x:c r="M60" t="str">
        <x:v>2026-06-19</x:v>
      </x:c>
      <x:c r="N60"/>
      <x:c r="O60" s="5" t="n">
        <x:v>22.666784</x:v>
      </x:c>
      <x:c r="P60" s="7" t="n">
        <x:v>1136187670528</x:v>
      </x:c>
      <x:c r="Q60" s="7" t="n">
        <x:v>113618.7670528</x:v>
      </x:c>
      <x:c r="R60" t="str">
        <x:v>Technology</x:v>
      </x:c>
      <x:c r="S60" t="str">
        <x:v>Information Technology Services</x:v>
      </x:c>
      <x:c r="T60" t="str">
        <x:v>INR</x:v>
      </x:c>
      <x:c r="U60"/>
      <x:c r="V60" t="str">
        <x:v>2026-06-19</x:v>
      </x:c>
      <x:c r="W60" t="str">
        <x:v>True</x:v>
      </x:c>
      <x:c r="X60" s="8" t="n">
        <x:v>63.541666666666664</x:v>
      </x:c>
      <x:c r="Y60" s="8" t="n">
        <x:v>7.291666666666667</x:v>
      </x:c>
      <x:c r="Z60" s="8" t="n">
        <x:v>28.59375</x:v>
      </x:c>
      <x:c r="AA60" s="8" t="n">
        <x:v>4.010416666666667</x:v>
      </x:c>
      <x:c r="AB60" s="8" t="n">
        <x:v>32.604166666666664</x:v>
      </x:c>
      <x:c r="AC60" s="9" t="n">
        <x:v>-0.9224071518966109</x:v>
      </x:c>
      <x:c r="AD60" t="str">
        <x:v>1Y return below 10%</x:v>
      </x:c>
      <x:c r="AE60" t="str">
        <x:v>False</x:v>
      </x:c>
      <x:c r="AF60" t="str">
        <x:v>https://finance.yahoo.com/quote/LTM.NS</x:v>
      </x:c>
    </x:row>
    <x:row r="61">
      <x:c r="A61" t="str">
        <x:v>Mahindra &amp; Mahindra Ltd.</x:v>
      </x:c>
      <x:c r="B61" t="str">
        <x:v>Automobile and Auto Components</x:v>
      </x:c>
      <x:c r="C61" t="str">
        <x:v>M&amp;M</x:v>
      </x:c>
      <x:c r="D61" t="str">
        <x:v>EQ</x:v>
      </x:c>
      <x:c r="E61" t="str">
        <x:v>INE101A01026</x:v>
      </x:c>
      <x:c r="F61" t="str">
        <x:v>M&amp;M.NS</x:v>
      </x:c>
      <x:c r="G61" s="10" t="n">
        <x:v>3074.800048828125</x:v>
      </x:c>
      <x:c r="H61" s="6" t="n">
        <x:v>0.0015197288010515564</x:v>
      </x:c>
      <x:c r="I61" s="6" t="n">
        <x:v>0.272321709025129</x:v>
      </x:c>
      <x:c r="J61" s="6" t="n">
        <x:v>-0.22914470520326968</x:v>
      </x:c>
      <x:c r="K61" t="n">
        <x:v>250</x:v>
      </x:c>
      <x:c r="L61" t="str">
        <x:v>2025-06-19</x:v>
      </x:c>
      <x:c r="M61" t="str">
        <x:v>2026-06-19</x:v>
      </x:c>
      <x:c r="N61"/>
      <x:c r="O61" s="5" t="n">
        <x:v>20.203693</x:v>
      </x:c>
      <x:c r="P61" s="7" t="n">
        <x:v>3692103729152</x:v>
      </x:c>
      <x:c r="Q61" s="7" t="n">
        <x:v>369210.3729152</x:v>
      </x:c>
      <x:c r="R61" t="str">
        <x:v>Consumer Cyclical</x:v>
      </x:c>
      <x:c r="S61" t="str">
        <x:v>Auto Manufacturers</x:v>
      </x:c>
      <x:c r="T61" t="str">
        <x:v>INR</x:v>
      </x:c>
      <x:c r="U61"/>
      <x:c r="V61" t="str">
        <x:v>2026-06-19</x:v>
      </x:c>
      <x:c r="W61" t="str">
        <x:v>True</x:v>
      </x:c>
      <x:c r="X61" s="8" t="n">
        <x:v>68.75</x:v>
      </x:c>
      <x:c r="Y61" s="8" t="n">
        <x:v>36.45833333333333</x:v>
      </x:c>
      <x:c r="Z61" s="8" t="n">
        <x:v>30.9375</x:v>
      </x:c>
      <x:c r="AA61" s="8" t="n">
        <x:v>20.052083333333332</x:v>
      </x:c>
      <x:c r="AB61" s="8" t="n">
        <x:v>50.98958333333333</x:v>
      </x:c>
      <x:c r="AC61" s="9" t="n">
        <x:v>0.005580637718865523</x:v>
      </x:c>
      <x:c r="AD61" t="str">
        <x:v>1Y return below 10%</x:v>
      </x:c>
      <x:c r="AE61" t="str">
        <x:v>False</x:v>
      </x:c>
      <x:c r="AF61" t="str">
        <x:v>https://finance.yahoo.com/quote/M&amp;M.NS</x:v>
      </x:c>
    </x:row>
    <x:row r="62">
      <x:c r="A62" t="str">
        <x:v>Maruti Suzuki India Ltd.</x:v>
      </x:c>
      <x:c r="B62" t="str">
        <x:v>Automobile and Auto Components</x:v>
      </x:c>
      <x:c r="C62" t="str">
        <x:v>MARUTI</x:v>
      </x:c>
      <x:c r="D62" t="str">
        <x:v>EQ</x:v>
      </x:c>
      <x:c r="E62" t="str">
        <x:v>INE585B01010</x:v>
      </x:c>
      <x:c r="F62" t="str">
        <x:v>MARUTI.NS</x:v>
      </x:c>
      <x:c r="G62" s="10" t="n">
        <x:v>13395</x:v>
      </x:c>
      <x:c r="H62" s="6" t="n">
        <x:v>0.05731525785263836</x:v>
      </x:c>
      <x:c r="I62" s="6" t="n">
        <x:v>0.23239465381742633</x:v>
      </x:c>
      <x:c r="J62" s="6" t="n">
        <x:v>-0.2883414295628036</x:v>
      </x:c>
      <x:c r="K62" t="n">
        <x:v>250</x:v>
      </x:c>
      <x:c r="L62" t="str">
        <x:v>2025-06-19</x:v>
      </x:c>
      <x:c r="M62" t="str">
        <x:v>2026-06-19</x:v>
      </x:c>
      <x:c r="N62"/>
      <x:c r="O62" s="5" t="n">
        <x:v>28.691687</x:v>
      </x:c>
      <x:c r="P62" s="7" t="n">
        <x:v>4211422265344</x:v>
      </x:c>
      <x:c r="Q62" s="7" t="n">
        <x:v>421142.2265344</x:v>
      </x:c>
      <x:c r="R62" t="str">
        <x:v>Consumer Cyclical</x:v>
      </x:c>
      <x:c r="S62" t="str">
        <x:v>Auto Manufacturers</x:v>
      </x:c>
      <x:c r="T62" t="str">
        <x:v>INR</x:v>
      </x:c>
      <x:c r="U62"/>
      <x:c r="V62" t="str">
        <x:v>2026-06-19</x:v>
      </x:c>
      <x:c r="W62" t="str">
        <x:v>True</x:v>
      </x:c>
      <x:c r="X62" s="8" t="n">
        <x:v>55.208333333333336</x:v>
      </x:c>
      <x:c r="Y62" s="8" t="n">
        <x:v>48.95833333333333</x:v>
      </x:c>
      <x:c r="Z62" s="8" t="n">
        <x:v>24.84375</x:v>
      </x:c>
      <x:c r="AA62" s="8" t="n">
        <x:v>26.927083333333332</x:v>
      </x:c>
      <x:c r="AB62" s="8" t="n">
        <x:v>51.77083333333333</x:v>
      </x:c>
      <x:c r="AC62" s="9" t="n">
        <x:v>0.24662898612833975</x:v>
      </x:c>
      <x:c r="AD62" t="str">
        <x:v>1Y return below 10%</x:v>
      </x:c>
      <x:c r="AE62" t="str">
        <x:v>False</x:v>
      </x:c>
      <x:c r="AF62" t="str">
        <x:v>https://finance.yahoo.com/quote/MARUTI.NS</x:v>
      </x:c>
    </x:row>
    <x:row r="63">
      <x:c r="A63" t="str">
        <x:v>Max Healthcare Institute Ltd.</x:v>
      </x:c>
      <x:c r="B63" t="str">
        <x:v>Healthcare</x:v>
      </x:c>
      <x:c r="C63" t="str">
        <x:v>MAXHEALTH</x:v>
      </x:c>
      <x:c r="D63" t="str">
        <x:v>EQ</x:v>
      </x:c>
      <x:c r="E63" t="str">
        <x:v>INE027H01010</x:v>
      </x:c>
      <x:c r="F63" t="str">
        <x:v>MAXHEALTH.NS</x:v>
      </x:c>
      <x:c r="G63" s="10" t="n">
        <x:v>1094.75</x:v>
      </x:c>
      <x:c r="H63" s="6" t="n">
        <x:v>-0.05759824049540185</x:v>
      </x:c>
      <x:c r="I63" s="6" t="n">
        <x:v>0.26314612201728454</x:v>
      </x:c>
      <x:c r="J63" s="6" t="n">
        <x:v>-0.28332951912524074</x:v>
      </x:c>
      <x:c r="K63" t="n">
        <x:v>250</x:v>
      </x:c>
      <x:c r="L63" t="str">
        <x:v>2025-06-19</x:v>
      </x:c>
      <x:c r="M63" t="str">
        <x:v>2026-06-19</x:v>
      </x:c>
      <x:c r="N63"/>
      <x:c r="O63" s="5" t="n">
        <x:v>74.22034</x:v>
      </x:c>
      <x:c r="P63" s="7" t="n">
        <x:v>1065458597888</x:v>
      </x:c>
      <x:c r="Q63" s="7" t="n">
        <x:v>106545.8597888</x:v>
      </x:c>
      <x:c r="R63" t="str">
        <x:v>Healthcare</x:v>
      </x:c>
      <x:c r="S63" t="str">
        <x:v>Medical Care Facilities</x:v>
      </x:c>
      <x:c r="T63" t="str">
        <x:v>INR</x:v>
      </x:c>
      <x:c r="U63"/>
      <x:c r="V63" t="str">
        <x:v>2026-06-19</x:v>
      </x:c>
      <x:c r="W63" t="str">
        <x:v>True</x:v>
      </x:c>
      <x:c r="X63" s="8" t="n">
        <x:v>14.583333333333334</x:v>
      </x:c>
      <x:c r="Y63" s="8" t="n">
        <x:v>28.125</x:v>
      </x:c>
      <x:c r="Z63" s="8" t="n">
        <x:v>6.5625</x:v>
      </x:c>
      <x:c r="AA63" s="8" t="n">
        <x:v>15.468750000000002</x:v>
      </x:c>
      <x:c r="AB63" s="8" t="n">
        <x:v>22.03125</x:v>
      </x:c>
      <x:c r="AC63" s="9" t="n">
        <x:v>-0.21888310591032978</x:v>
      </x:c>
      <x:c r="AD63" t="str">
        <x:v>P/E above 30; 1Y return below 10%</x:v>
      </x:c>
      <x:c r="AE63" t="str">
        <x:v>False</x:v>
      </x:c>
      <x:c r="AF63" t="str">
        <x:v>https://finance.yahoo.com/quote/MAXHEALTH.NS</x:v>
      </x:c>
    </x:row>
    <x:row r="64">
      <x:c r="A64" t="str">
        <x:v>Mazagoan Dock Shipbuilders Ltd.</x:v>
      </x:c>
      <x:c r="B64" t="str">
        <x:v>Capital Goods</x:v>
      </x:c>
      <x:c r="C64" t="str">
        <x:v>MAZDOCK</x:v>
      </x:c>
      <x:c r="D64" t="str">
        <x:v>EQ</x:v>
      </x:c>
      <x:c r="E64" t="str">
        <x:v>INE249Z01020</x:v>
      </x:c>
      <x:c r="F64" t="str">
        <x:v>MAZDOCK.NS</x:v>
      </x:c>
      <x:c r="G64" s="10" t="n">
        <x:v>2518.699951171875</x:v>
      </x:c>
      <x:c r="H64" s="6" t="n">
        <x:v>-0.21378154752033873</x:v>
      </x:c>
      <x:c r="I64" s="6" t="n">
        <x:v>0.3430732081109575</x:v>
      </x:c>
      <x:c r="J64" s="6" t="n">
        <x:v>-0.37831248035421605</x:v>
      </x:c>
      <x:c r="K64" t="n">
        <x:v>250</x:v>
      </x:c>
      <x:c r="L64" t="str">
        <x:v>2025-06-19</x:v>
      </x:c>
      <x:c r="M64" t="str">
        <x:v>2026-06-19</x:v>
      </x:c>
      <x:c r="N64"/>
      <x:c r="O64" s="5" t="n">
        <x:v>39.262665</x:v>
      </x:c>
      <x:c r="P64" s="7" t="n">
        <x:v>1015993204736</x:v>
      </x:c>
      <x:c r="Q64" s="7" t="n">
        <x:v>101599.3204736</x:v>
      </x:c>
      <x:c r="R64" t="str">
        <x:v>Industrials</x:v>
      </x:c>
      <x:c r="S64" t="str">
        <x:v>Aerospace &amp; Defense</x:v>
      </x:c>
      <x:c r="T64" t="str">
        <x:v>INR</x:v>
      </x:c>
      <x:c r="U64"/>
      <x:c r="V64" t="str">
        <x:v>2026-06-19</x:v>
      </x:c>
      <x:c r="W64" t="str">
        <x:v>True</x:v>
      </x:c>
      <x:c r="X64" s="8" t="n">
        <x:v>41.66666666666667</x:v>
      </x:c>
      <x:c r="Y64" s="8" t="n">
        <x:v>13.541666666666666</x:v>
      </x:c>
      <x:c r="Z64" s="8" t="n">
        <x:v>18.750000000000004</x:v>
      </x:c>
      <x:c r="AA64" s="8" t="n">
        <x:v>7.447916666666667</x:v>
      </x:c>
      <x:c r="AB64" s="8" t="n">
        <x:v>26.19791666666667</x:v>
      </x:c>
      <x:c r="AC64" s="9" t="n">
        <x:v>-0.6231368188074804</x:v>
      </x:c>
      <x:c r="AD64" t="str">
        <x:v>P/E above 30; 1Y return below 10%</x:v>
      </x:c>
      <x:c r="AE64" t="str">
        <x:v>False</x:v>
      </x:c>
      <x:c r="AF64" t="str">
        <x:v>https://finance.yahoo.com/quote/MAZDOCK.NS</x:v>
      </x:c>
    </x:row>
    <x:row r="65">
      <x:c r="A65" t="str">
        <x:v>Samvardhana Motherson International Ltd.</x:v>
      </x:c>
      <x:c r="B65" t="str">
        <x:v>Automobile and Auto Components</x:v>
      </x:c>
      <x:c r="C65" t="str">
        <x:v>MOTHERSON</x:v>
      </x:c>
      <x:c r="D65" t="str">
        <x:v>EQ</x:v>
      </x:c>
      <x:c r="E65" t="str">
        <x:v>INE775A01035</x:v>
      </x:c>
      <x:c r="F65" t="str">
        <x:v>MOTHERSON.NS</x:v>
      </x:c>
      <x:c r="G65" s="10" t="n">
        <x:v>145.5399932861328</x:v>
      </x:c>
      <x:c r="H65" s="6" t="n">
        <x:v>0.4857112905602492</x:v>
      </x:c>
      <x:c r="I65" s="6" t="n">
        <x:v>0.34524702688592046</x:v>
      </x:c>
      <x:c r="J65" s="6" t="n">
        <x:v>-0.2210027984531191</x:v>
      </x:c>
      <x:c r="K65" t="n">
        <x:v>250</x:v>
      </x:c>
      <x:c r="L65" t="str">
        <x:v>2025-06-19</x:v>
      </x:c>
      <x:c r="M65" t="str">
        <x:v>2026-06-19</x:v>
      </x:c>
      <x:c r="N65"/>
      <x:c r="O65" s="5" t="n">
        <x:v>39.765026</x:v>
      </x:c>
      <x:c r="P65" s="7" t="n">
        <x:v>1532715204608</x:v>
      </x:c>
      <x:c r="Q65" s="7" t="n">
        <x:v>153271.5204608</x:v>
      </x:c>
      <x:c r="R65" t="str">
        <x:v>Consumer Cyclical</x:v>
      </x:c>
      <x:c r="S65" t="str">
        <x:v>Auto Parts</x:v>
      </x:c>
      <x:c r="T65" t="str">
        <x:v>INR</x:v>
      </x:c>
      <x:c r="U65"/>
      <x:c r="V65" t="str">
        <x:v>2026-06-19</x:v>
      </x:c>
      <x:c r="W65" t="str">
        <x:v>True</x:v>
      </x:c>
      <x:c r="X65" s="8" t="n">
        <x:v>40.625</x:v>
      </x:c>
      <x:c r="Y65" s="8" t="n">
        <x:v>93.75</x:v>
      </x:c>
      <x:c r="Z65" s="8" t="n">
        <x:v>18.28125</x:v>
      </x:c>
      <x:c r="AA65" s="8" t="n">
        <x:v>51.56250000000001</x:v>
      </x:c>
      <x:c r="AB65" s="8" t="n">
        <x:v>69.84375</x:v>
      </x:c>
      <x:c r="AC65" s="9" t="n">
        <x:v>1.4068514794791909</x:v>
      </x:c>
      <x:c r="AD65" t="str">
        <x:v>P/E above 30</x:v>
      </x:c>
      <x:c r="AE65" t="str">
        <x:v>False</x:v>
      </x:c>
      <x:c r="AF65" t="str">
        <x:v>https://finance.yahoo.com/quote/MOTHERSON.NS</x:v>
      </x:c>
    </x:row>
    <x:row r="66">
      <x:c r="A66" t="str">
        <x:v>Muthoot Finance Ltd.</x:v>
      </x:c>
      <x:c r="B66" t="str">
        <x:v>Financial Services</x:v>
      </x:c>
      <x:c r="C66" t="str">
        <x:v>MUTHOOTFIN</x:v>
      </x:c>
      <x:c r="D66" t="str">
        <x:v>EQ</x:v>
      </x:c>
      <x:c r="E66" t="str">
        <x:v>INE414G01012</x:v>
      </x:c>
      <x:c r="F66" t="str">
        <x:v>MUTHOOTFIN.NS</x:v>
      </x:c>
      <x:c r="G66" s="10" t="n">
        <x:v>3126.10009765625</x:v>
      </x:c>
      <x:c r="H66" s="6" t="n">
        <x:v>0.1954543905584869</x:v>
      </x:c>
      <x:c r="I66" s="6" t="n">
        <x:v>0.35652007409222</x:v>
      </x:c>
      <x:c r="J66" s="6" t="n">
        <x:v>-0.28771994071152307</x:v>
      </x:c>
      <x:c r="K66" t="n">
        <x:v>250</x:v>
      </x:c>
      <x:c r="L66" t="str">
        <x:v>2025-06-19</x:v>
      </x:c>
      <x:c r="M66" t="str">
        <x:v>2026-06-19</x:v>
      </x:c>
      <x:c r="N66"/>
      <x:c r="O66" s="5" t="n">
        <x:v>11.850266</x:v>
      </x:c>
      <x:c r="P66" s="7" t="n">
        <x:v>1255030652928</x:v>
      </x:c>
      <x:c r="Q66" s="7" t="n">
        <x:v>125503.0652928</x:v>
      </x:c>
      <x:c r="R66" t="str">
        <x:v>Financial Services</x:v>
      </x:c>
      <x:c r="S66" t="str">
        <x:v>Credit Services</x:v>
      </x:c>
      <x:c r="T66" t="str">
        <x:v>INR</x:v>
      </x:c>
      <x:c r="U66"/>
      <x:c r="V66" t="str">
        <x:v>2026-06-19</x:v>
      </x:c>
      <x:c r="W66" t="str">
        <x:v>True</x:v>
      </x:c>
      <x:c r="X66" s="8" t="n">
        <x:v>88.54166666666666</x:v>
      </x:c>
      <x:c r="Y66" s="8" t="n">
        <x:v>68.75</x:v>
      </x:c>
      <x:c r="Z66" s="8" t="n">
        <x:v>39.84375</x:v>
      </x:c>
      <x:c r="AA66" s="8" t="n">
        <x:v>37.8125</x:v>
      </x:c>
      <x:c r="AB66" s="8" t="n">
        <x:v>77.65625</x:v>
      </x:c>
      <x:c r="AC66" s="9" t="n">
        <x:v>0.5482282899670028</x:v>
      </x:c>
      <x:c r="AD66" t="str">
        <x:v>Passed all filters</x:v>
      </x:c>
      <x:c r="AE66" t="str">
        <x:v>True</x:v>
      </x:c>
      <x:c r="AF66" t="str">
        <x:v>https://finance.yahoo.com/quote/MUTHOOTFIN.NS</x:v>
      </x:c>
    </x:row>
    <x:row r="67">
      <x:c r="A67" t="str">
        <x:v>Nestle India Ltd.</x:v>
      </x:c>
      <x:c r="B67" t="str">
        <x:v>Fast Moving Consumer Goods</x:v>
      </x:c>
      <x:c r="C67" t="str">
        <x:v>NESTLEIND</x:v>
      </x:c>
      <x:c r="D67" t="str">
        <x:v>EQ</x:v>
      </x:c>
      <x:c r="E67" t="str">
        <x:v>INE239A01024</x:v>
      </x:c>
      <x:c r="F67" t="str">
        <x:v>NESTLEIND.NS</x:v>
      </x:c>
      <x:c r="G67" s="10" t="n">
        <x:v>1414.800048828125</x:v>
      </x:c>
      <x:c r="H67" s="6" t="n">
        <x:v>0.23198017613957478</x:v>
      </x:c>
      <x:c r="I67" s="6" t="n">
        <x:v>0.2054599588826711</x:v>
      </x:c>
      <x:c r="J67" s="6" t="n">
        <x:v>-0.11955890374770439</x:v>
      </x:c>
      <x:c r="K67" t="n">
        <x:v>250</x:v>
      </x:c>
      <x:c r="L67" t="str">
        <x:v>2025-06-19</x:v>
      </x:c>
      <x:c r="M67" t="str">
        <x:v>2026-06-19</x:v>
      </x:c>
      <x:c r="N67"/>
      <x:c r="O67" s="5" t="n">
        <x:v>78.208954</x:v>
      </x:c>
      <x:c r="P67" s="7" t="n">
        <x:v>2728179269632</x:v>
      </x:c>
      <x:c r="Q67" s="7" t="n">
        <x:v>272817.9269632</x:v>
      </x:c>
      <x:c r="R67" t="str">
        <x:v>Consumer Defensive</x:v>
      </x:c>
      <x:c r="S67" t="str">
        <x:v>Packaged Foods</x:v>
      </x:c>
      <x:c r="T67" t="str">
        <x:v>INR</x:v>
      </x:c>
      <x:c r="U67"/>
      <x:c r="V67" t="str">
        <x:v>2026-06-19</x:v>
      </x:c>
      <x:c r="W67" t="str">
        <x:v>True</x:v>
      </x:c>
      <x:c r="X67" s="8" t="n">
        <x:v>12.5</x:v>
      </x:c>
      <x:c r="Y67" s="8" t="n">
        <x:v>72.91666666666666</x:v>
      </x:c>
      <x:c r="Z67" s="8" t="n">
        <x:v>5.625</x:v>
      </x:c>
      <x:c r="AA67" s="8" t="n">
        <x:v>40.104166666666664</x:v>
      </x:c>
      <x:c r="AB67" s="8" t="n">
        <x:v>45.729166666666664</x:v>
      </x:c>
      <x:c r="AC67" s="9" t="n">
        <x:v>1.1290773024638254</x:v>
      </x:c>
      <x:c r="AD67" t="str">
        <x:v>P/E above 30</x:v>
      </x:c>
      <x:c r="AE67" t="str">
        <x:v>False</x:v>
      </x:c>
      <x:c r="AF67" t="str">
        <x:v>https://finance.yahoo.com/quote/NESTLEIND.NS</x:v>
      </x:c>
    </x:row>
    <x:row r="68">
      <x:c r="A68" t="str">
        <x:v>NTPC Ltd.</x:v>
      </x:c>
      <x:c r="B68" t="str">
        <x:v>Power</x:v>
      </x:c>
      <x:c r="C68" t="str">
        <x:v>NTPC</x:v>
      </x:c>
      <x:c r="D68" t="str">
        <x:v>EQ</x:v>
      </x:c>
      <x:c r="E68" t="str">
        <x:v>INE733E01010</x:v>
      </x:c>
      <x:c r="F68" t="str">
        <x:v>NTPC.NS</x:v>
      </x:c>
      <x:c r="G68" s="10" t="n">
        <x:v>365.79998779296875</x:v>
      </x:c>
      <x:c r="H68" s="6" t="n">
        <x:v>0.13756674816366044</x:v>
      </x:c>
      <x:c r="I68" s="6" t="n">
        <x:v>0.1866176857666172</x:v>
      </x:c>
      <x:c r="J68" s="6" t="n">
        <x:v>-0.15138957643953765</x:v>
      </x:c>
      <x:c r="K68" t="n">
        <x:v>250</x:v>
      </x:c>
      <x:c r="L68" t="str">
        <x:v>2025-06-19</x:v>
      </x:c>
      <x:c r="M68" t="str">
        <x:v>2026-06-19</x:v>
      </x:c>
      <x:c r="N68"/>
      <x:c r="O68" s="5" t="n">
        <x:v>12.017082</x:v>
      </x:c>
      <x:c r="P68" s="7" t="n">
        <x:v>3547040579584</x:v>
      </x:c>
      <x:c r="Q68" s="7" t="n">
        <x:v>354704.0579584</x:v>
      </x:c>
      <x:c r="R68" t="str">
        <x:v>Utilities</x:v>
      </x:c>
      <x:c r="S68" t="str">
        <x:v>Utilities - Regulated Electric</x:v>
      </x:c>
      <x:c r="T68" t="str">
        <x:v>INR</x:v>
      </x:c>
      <x:c r="U68"/>
      <x:c r="V68" t="str">
        <x:v>2026-06-19</x:v>
      </x:c>
      <x:c r="W68" t="str">
        <x:v>True</x:v>
      </x:c>
      <x:c r="X68" s="8" t="n">
        <x:v>87.5</x:v>
      </x:c>
      <x:c r="Y68" s="8" t="n">
        <x:v>60.416666666666664</x:v>
      </x:c>
      <x:c r="Z68" s="8" t="n">
        <x:v>39.375</x:v>
      </x:c>
      <x:c r="AA68" s="8" t="n">
        <x:v>33.22916666666667</x:v>
      </x:c>
      <x:c r="AB68" s="8" t="n">
        <x:v>72.60416666666667</x:v>
      </x:c>
      <x:c r="AC68" s="9" t="n">
        <x:v>0.7371581508930535</x:v>
      </x:c>
      <x:c r="AD68" t="str">
        <x:v>Passed all filters</x:v>
      </x:c>
      <x:c r="AE68" t="str">
        <x:v>True</x:v>
      </x:c>
      <x:c r="AF68" t="str">
        <x:v>https://finance.yahoo.com/quote/NTPC.NS</x:v>
      </x:c>
    </x:row>
    <x:row r="69">
      <x:c r="A69" t="str">
        <x:v>Oil &amp; Natural Gas Corporation Ltd.</x:v>
      </x:c>
      <x:c r="B69" t="str">
        <x:v>Oil Gas &amp; Consumable Fuels</x:v>
      </x:c>
      <x:c r="C69" t="str">
        <x:v>ONGC</x:v>
      </x:c>
      <x:c r="D69" t="str">
        <x:v>EQ</x:v>
      </x:c>
      <x:c r="E69" t="str">
        <x:v>INE213A01029</x:v>
      </x:c>
      <x:c r="F69" t="str">
        <x:v>ONGC.NS</x:v>
      </x:c>
      <x:c r="G69" s="10" t="n">
        <x:v>246.25</x:v>
      </x:c>
      <x:c r="H69" s="6" t="n">
        <x:v>0.03187386543038029</x:v>
      </x:c>
      <x:c r="I69" s="6" t="n">
        <x:v>0.2293886276006892</x:v>
      </x:c>
      <x:c r="J69" s="6" t="n">
        <x:v>-0.19160584329618202</x:v>
      </x:c>
      <x:c r="K69" t="n">
        <x:v>250</x:v>
      </x:c>
      <x:c r="L69" t="str">
        <x:v>2025-06-19</x:v>
      </x:c>
      <x:c r="M69" t="str">
        <x:v>2026-06-19</x:v>
      </x:c>
      <x:c r="N69"/>
      <x:c r="O69" s="5" t="n">
        <x:v>7.4757137</x:v>
      </x:c>
      <x:c r="P69" s="7" t="n">
        <x:v>3097893797888</x:v>
      </x:c>
      <x:c r="Q69" s="7" t="n">
        <x:v>309789.3797888</x:v>
      </x:c>
      <x:c r="R69" t="str">
        <x:v>Energy</x:v>
      </x:c>
      <x:c r="S69" t="str">
        <x:v>Oil &amp; Gas Integrated</x:v>
      </x:c>
      <x:c r="T69" t="str">
        <x:v>INR</x:v>
      </x:c>
      <x:c r="U69"/>
      <x:c r="V69" t="str">
        <x:v>2026-06-19</x:v>
      </x:c>
      <x:c r="W69" t="str">
        <x:v>True</x:v>
      </x:c>
      <x:c r="X69" s="8" t="n">
        <x:v>91.66666666666666</x:v>
      </x:c>
      <x:c r="Y69" s="8" t="n">
        <x:v>42.70833333333333</x:v>
      </x:c>
      <x:c r="Z69" s="8" t="n">
        <x:v>41.25</x:v>
      </x:c>
      <x:c r="AA69" s="8" t="n">
        <x:v>23.489583333333332</x:v>
      </x:c>
      <x:c r="AB69" s="8" t="n">
        <x:v>64.73958333333333</x:v>
      </x:c>
      <x:c r="AC69" s="9" t="n">
        <x:v>0.13895137594120435</x:v>
      </x:c>
      <x:c r="AD69" t="str">
        <x:v>1Y return below 10%</x:v>
      </x:c>
      <x:c r="AE69" t="str">
        <x:v>False</x:v>
      </x:c>
      <x:c r="AF69" t="str">
        <x:v>https://finance.yahoo.com/quote/ONGC.NS</x:v>
      </x:c>
    </x:row>
    <x:row r="70">
      <x:c r="A70" t="str">
        <x:v>Power Finance Corporation Ltd.</x:v>
      </x:c>
      <x:c r="B70" t="str">
        <x:v>Financial Services</x:v>
      </x:c>
      <x:c r="C70" t="str">
        <x:v>PFC</x:v>
      </x:c>
      <x:c r="D70" t="str">
        <x:v>EQ</x:v>
      </x:c>
      <x:c r="E70" t="str">
        <x:v>INE134E01011</x:v>
      </x:c>
      <x:c r="F70" t="str">
        <x:v>PFC.NS</x:v>
      </x:c>
      <x:c r="G70" s="10" t="n">
        <x:v>431</x:v>
      </x:c>
      <x:c r="H70" s="6" t="n">
        <x:v>0.14551764463601913</x:v>
      </x:c>
      <x:c r="I70" s="6" t="n">
        <x:v>0.2709197796781873</x:v>
      </x:c>
      <x:c r="J70" s="6" t="n">
        <x:v>-0.20755977314362273</x:v>
      </x:c>
      <x:c r="K70" t="n">
        <x:v>250</x:v>
      </x:c>
      <x:c r="L70" t="str">
        <x:v>2025-06-19</x:v>
      </x:c>
      <x:c r="M70" t="str">
        <x:v>2026-06-19</x:v>
      </x:c>
      <x:c r="N70"/>
      <x:c r="O70" s="5" t="n">
        <x:v>5.4911456</x:v>
      </x:c>
      <x:c r="P70" s="7" t="n">
        <x:v>1422343798784</x:v>
      </x:c>
      <x:c r="Q70" s="7" t="n">
        <x:v>142234.3798784</x:v>
      </x:c>
      <x:c r="R70" t="str">
        <x:v>Financial Services</x:v>
      </x:c>
      <x:c r="S70" t="str">
        <x:v>Credit Services</x:v>
      </x:c>
      <x:c r="T70" t="str">
        <x:v>INR</x:v>
      </x:c>
      <x:c r="U70"/>
      <x:c r="V70" t="str">
        <x:v>2026-06-19</x:v>
      </x:c>
      <x:c r="W70" t="str">
        <x:v>True</x:v>
      </x:c>
      <x:c r="X70" s="8" t="n">
        <x:v>97.91666666666666</x:v>
      </x:c>
      <x:c r="Y70" s="8" t="n">
        <x:v>64.58333333333334</x:v>
      </x:c>
      <x:c r="Z70" s="8" t="n">
        <x:v>44.0625</x:v>
      </x:c>
      <x:c r="AA70" s="8" t="n">
        <x:v>35.52083333333334</x:v>
      </x:c>
      <x:c r="AB70" s="8" t="n">
        <x:v>79.58333333333334</x:v>
      </x:c>
      <x:c r="AC70" s="9" t="n">
        <x:v>0.5371244757723951</x:v>
      </x:c>
      <x:c r="AD70" t="str">
        <x:v>Passed all filters</x:v>
      </x:c>
      <x:c r="AE70" t="str">
        <x:v>True</x:v>
      </x:c>
      <x:c r="AF70" t="str">
        <x:v>https://finance.yahoo.com/quote/PFC.NS</x:v>
      </x:c>
    </x:row>
    <x:row r="71">
      <x:c r="A71" t="str">
        <x:v>Pidilite Industries Ltd.</x:v>
      </x:c>
      <x:c r="B71" t="str">
        <x:v>Chemicals</x:v>
      </x:c>
      <x:c r="C71" t="str">
        <x:v>PIDILITIND</x:v>
      </x:c>
      <x:c r="D71" t="str">
        <x:v>EQ</x:v>
      </x:c>
      <x:c r="E71" t="str">
        <x:v>INE318A01026</x:v>
      </x:c>
      <x:c r="F71" t="str">
        <x:v>PIDILITIND.NS</x:v>
      </x:c>
      <x:c r="G71" s="10" t="n">
        <x:v>1579.9000244140625</x:v>
      </x:c>
      <x:c r="H71" s="6" t="n">
        <x:v>0.07218168503266442</x:v>
      </x:c>
      <x:c r="I71" s="6" t="n">
        <x:v>0.20549977491772056</x:v>
      </x:c>
      <x:c r="J71" s="6" t="n">
        <x:v>-0.1854173485219459</x:v>
      </x:c>
      <x:c r="K71" t="n">
        <x:v>250</x:v>
      </x:c>
      <x:c r="L71" t="str">
        <x:v>2025-06-19</x:v>
      </x:c>
      <x:c r="M71" t="str">
        <x:v>2026-06-19</x:v>
      </x:c>
      <x:c r="N71"/>
      <x:c r="O71" s="5" t="n">
        <x:v>65.719635</x:v>
      </x:c>
      <x:c r="P71" s="7" t="n">
        <x:v>1607983300608</x:v>
      </x:c>
      <x:c r="Q71" s="7" t="n">
        <x:v>160798.3300608</x:v>
      </x:c>
      <x:c r="R71" t="str">
        <x:v>Basic Materials</x:v>
      </x:c>
      <x:c r="S71" t="str">
        <x:v>Specialty Chemicals</x:v>
      </x:c>
      <x:c r="T71" t="str">
        <x:v>INR</x:v>
      </x:c>
      <x:c r="U71"/>
      <x:c r="V71" t="str">
        <x:v>2026-06-19</x:v>
      </x:c>
      <x:c r="W71" t="str">
        <x:v>True</x:v>
      </x:c>
      <x:c r="X71" s="8" t="n">
        <x:v>21.875</x:v>
      </x:c>
      <x:c r="Y71" s="8" t="n">
        <x:v>53.125</x:v>
      </x:c>
      <x:c r="Z71" s="8" t="n">
        <x:v>9.84375</x:v>
      </x:c>
      <x:c r="AA71" s="8" t="n">
        <x:v>29.218750000000004</x:v>
      </x:c>
      <x:c r="AB71" s="8" t="n">
        <x:v>39.0625</x:v>
      </x:c>
      <x:c r="AC71" s="9" t="n">
        <x:v>0.35124946030507836</x:v>
      </x:c>
      <x:c r="AD71" t="str">
        <x:v>P/E above 30; 1Y return below 10%</x:v>
      </x:c>
      <x:c r="AE71" t="str">
        <x:v>False</x:v>
      </x:c>
      <x:c r="AF71" t="str">
        <x:v>https://finance.yahoo.com/quote/PIDILITIND.NS</x:v>
      </x:c>
    </x:row>
    <x:row r="72">
      <x:c r="A72" t="str">
        <x:v>Punjab National Bank</x:v>
      </x:c>
      <x:c r="B72" t="str">
        <x:v>Financial Services</x:v>
      </x:c>
      <x:c r="C72" t="str">
        <x:v>PNB</x:v>
      </x:c>
      <x:c r="D72" t="str">
        <x:v>EQ</x:v>
      </x:c>
      <x:c r="E72" t="str">
        <x:v>INE160A01022</x:v>
      </x:c>
      <x:c r="F72" t="str">
        <x:v>PNB.NS</x:v>
      </x:c>
      <x:c r="G72" s="10" t="n">
        <x:v>108.7699966430664</x:v>
      </x:c>
      <x:c r="H72" s="6" t="n">
        <x:v>0.1184335952898814</x:v>
      </x:c>
      <x:c r="I72" s="6" t="n">
        <x:v>0.27595281924425036</x:v>
      </x:c>
      <x:c r="J72" s="6" t="n">
        <x:v>-0.24833792805470667</x:v>
      </x:c>
      <x:c r="K72" t="n">
        <x:v>250</x:v>
      </x:c>
      <x:c r="L72" t="str">
        <x:v>2025-06-19</x:v>
      </x:c>
      <x:c r="M72" t="str">
        <x:v>2026-06-19</x:v>
      </x:c>
      <x:c r="N72"/>
      <x:c r="O72" s="5" t="n">
        <x:v>6.798125</x:v>
      </x:c>
      <x:c r="P72" s="7" t="n">
        <x:v>1250087403520</x:v>
      </x:c>
      <x:c r="Q72" s="7" t="n">
        <x:v>125008.740352</x:v>
      </x:c>
      <x:c r="R72" t="str">
        <x:v>Financial Services</x:v>
      </x:c>
      <x:c r="S72" t="str">
        <x:v>Banks - Regional</x:v>
      </x:c>
      <x:c r="T72" t="str">
        <x:v>INR</x:v>
      </x:c>
      <x:c r="U72"/>
      <x:c r="V72" t="str">
        <x:v>2026-06-19</x:v>
      </x:c>
      <x:c r="W72" t="str">
        <x:v>True</x:v>
      </x:c>
      <x:c r="X72" s="8" t="n">
        <x:v>94.79166666666666</x:v>
      </x:c>
      <x:c r="Y72" s="8" t="n">
        <x:v>58.333333333333336</x:v>
      </x:c>
      <x:c r="Z72" s="8" t="n">
        <x:v>42.65625</x:v>
      </x:c>
      <x:c r="AA72" s="8" t="n">
        <x:v>32.083333333333336</x:v>
      </x:c>
      <x:c r="AB72" s="8" t="n">
        <x:v>74.73958333333334</x:v>
      </x:c>
      <x:c r="AC72" s="9" t="n">
        <x:v>0.42918059548815074</x:v>
      </x:c>
      <x:c r="AD72" t="str">
        <x:v>Passed all filters</x:v>
      </x:c>
      <x:c r="AE72" t="str">
        <x:v>True</x:v>
      </x:c>
      <x:c r="AF72" t="str">
        <x:v>https://finance.yahoo.com/quote/PNB.NS</x:v>
      </x:c>
    </x:row>
    <x:row r="73">
      <x:c r="A73" t="str">
        <x:v>Power Grid Corporation of India Ltd.</x:v>
      </x:c>
      <x:c r="B73" t="str">
        <x:v>Power</x:v>
      </x:c>
      <x:c r="C73" t="str">
        <x:v>POWERGRID</x:v>
      </x:c>
      <x:c r="D73" t="str">
        <x:v>EQ</x:v>
      </x:c>
      <x:c r="E73" t="str">
        <x:v>INE752E01010</x:v>
      </x:c>
      <x:c r="F73" t="str">
        <x:v>POWERGRID.NS</x:v>
      </x:c>
      <x:c r="G73" s="10" t="n">
        <x:v>292.25</x:v>
      </x:c>
      <x:c r="H73" s="6" t="n">
        <x:v>0.05359286855734613</x:v>
      </x:c>
      <x:c r="I73" s="6" t="n">
        <x:v>0.1980652064856126</x:v>
      </x:c>
      <x:c r="J73" s="6" t="n">
        <x:v>-0.1349093983305144</x:v>
      </x:c>
      <x:c r="K73" t="n">
        <x:v>250</x:v>
      </x:c>
      <x:c r="L73" t="str">
        <x:v>2025-06-19</x:v>
      </x:c>
      <x:c r="M73" t="str">
        <x:v>2026-06-19</x:v>
      </x:c>
      <x:c r="N73"/>
      <x:c r="O73" s="5" t="n">
        <x:v>14.539801</x:v>
      </x:c>
      <x:c r="P73" s="7" t="n">
        <x:v>2718101405696</x:v>
      </x:c>
      <x:c r="Q73" s="7" t="n">
        <x:v>271810.1405696</x:v>
      </x:c>
      <x:c r="R73" t="str">
        <x:v>Utilities</x:v>
      </x:c>
      <x:c r="S73" t="str">
        <x:v>Utilities - Regulated Electric</x:v>
      </x:c>
      <x:c r="T73" t="str">
        <x:v>INR</x:v>
      </x:c>
      <x:c r="U73"/>
      <x:c r="V73" t="str">
        <x:v>2026-06-19</x:v>
      </x:c>
      <x:c r="W73" t="str">
        <x:v>True</x:v>
      </x:c>
      <x:c r="X73" s="8" t="n">
        <x:v>82.29166666666666</x:v>
      </x:c>
      <x:c r="Y73" s="8" t="n">
        <x:v>47.91666666666667</x:v>
      </x:c>
      <x:c r="Z73" s="8" t="n">
        <x:v>37.03125</x:v>
      </x:c>
      <x:c r="AA73" s="8" t="n">
        <x:v>26.35416666666667</x:v>
      </x:c>
      <x:c r="AB73" s="8" t="n">
        <x:v>63.38541666666667</x:v>
      </x:c>
      <x:c r="AC73" s="9" t="n">
        <x:v>0.27058194373598426</x:v>
      </x:c>
      <x:c r="AD73" t="str">
        <x:v>1Y return below 10%</x:v>
      </x:c>
      <x:c r="AE73" t="str">
        <x:v>False</x:v>
      </x:c>
      <x:c r="AF73" t="str">
        <x:v>https://finance.yahoo.com/quote/POWERGRID.NS</x:v>
      </x:c>
    </x:row>
    <x:row r="74">
      <x:c r="A74" t="str">
        <x:v>REC Ltd.</x:v>
      </x:c>
      <x:c r="B74" t="str">
        <x:v>Financial Services</x:v>
      </x:c>
      <x:c r="C74" t="str">
        <x:v>RECLTD</x:v>
      </x:c>
      <x:c r="D74" t="str">
        <x:v>EQ</x:v>
      </x:c>
      <x:c r="E74" t="str">
        <x:v>INE020B01018</x:v>
      </x:c>
      <x:c r="F74" t="str">
        <x:v>RECLTD.NS</x:v>
      </x:c>
      <x:c r="G74" s="10" t="n">
        <x:v>355.3500061035156</x:v>
      </x:c>
      <x:c r="H74" s="6" t="n">
        <x:v>-0.02371665510883436</x:v>
      </x:c>
      <x:c r="I74" s="6" t="n">
        <x:v>0.26261718708974696</x:v>
      </x:c>
      <x:c r="J74" s="6" t="n">
        <x:v>-0.205764641393117</x:v>
      </x:c>
      <x:c r="K74" t="n">
        <x:v>250</x:v>
      </x:c>
      <x:c r="L74" t="str">
        <x:v>2025-06-19</x:v>
      </x:c>
      <x:c r="M74" t="str">
        <x:v>2026-06-19</x:v>
      </x:c>
      <x:c r="N74"/>
      <x:c r="O74" s="5" t="n">
        <x:v>5.74721</x:v>
      </x:c>
      <x:c r="P74" s="7" t="n">
        <x:v>935716126720</x:v>
      </x:c>
      <x:c r="Q74" s="7" t="n">
        <x:v>93571.612672</x:v>
      </x:c>
      <x:c r="R74" t="str">
        <x:v>Financial Services</x:v>
      </x:c>
      <x:c r="S74" t="str">
        <x:v>Credit Services</x:v>
      </x:c>
      <x:c r="T74" t="str">
        <x:v>INR</x:v>
      </x:c>
      <x:c r="U74"/>
      <x:c r="V74" t="str">
        <x:v>2026-06-19</x:v>
      </x:c>
      <x:c r="W74" t="str">
        <x:v>True</x:v>
      </x:c>
      <x:c r="X74" s="8" t="n">
        <x:v>96.875</x:v>
      </x:c>
      <x:c r="Y74" s="8" t="n">
        <x:v>34.375</x:v>
      </x:c>
      <x:c r="Z74" s="8" t="n">
        <x:v>43.59375</x:v>
      </x:c>
      <x:c r="AA74" s="8" t="n">
        <x:v>18.90625</x:v>
      </x:c>
      <x:c r="AB74" s="8" t="n">
        <x:v>62.5</x:v>
      </x:c>
      <x:c r="AC74" s="9" t="n">
        <x:v>-0.09030884601139763</x:v>
      </x:c>
      <x:c r="AD74" t="str">
        <x:v>1Y return below 10%</x:v>
      </x:c>
      <x:c r="AE74" t="str">
        <x:v>False</x:v>
      </x:c>
      <x:c r="AF74" t="str">
        <x:v>https://finance.yahoo.com/quote/RECLTD.NS</x:v>
      </x:c>
    </x:row>
    <x:row r="75">
      <x:c r="A75" t="str">
        <x:v>Reliance Industries Ltd.</x:v>
      </x:c>
      <x:c r="B75" t="str">
        <x:v>Oil Gas &amp; Consumable Fuels</x:v>
      </x:c>
      <x:c r="C75" t="str">
        <x:v>RELIANCE</x:v>
      </x:c>
      <x:c r="D75" t="str">
        <x:v>EQ</x:v>
      </x:c>
      <x:c r="E75" t="str">
        <x:v>INE002A01018</x:v>
      </x:c>
      <x:c r="F75" t="str">
        <x:v>RELIANCE.NS</x:v>
      </x:c>
      <x:c r="G75" s="10" t="n">
        <x:v>1309.5</x:v>
      </x:c>
      <x:c r="H75" s="6" t="n">
        <x:v>-0.07848415561362398</x:v>
      </x:c>
      <x:c r="I75" s="6" t="n">
        <x:v>0.203078829077778</x:v>
      </x:c>
      <x:c r="J75" s="6" t="n">
        <x:v>-0.20579025605878087</x:v>
      </x:c>
      <x:c r="K75" t="n">
        <x:v>250</x:v>
      </x:c>
      <x:c r="L75" t="str">
        <x:v>2025-06-19</x:v>
      </x:c>
      <x:c r="M75" t="str">
        <x:v>2026-06-19</x:v>
      </x:c>
      <x:c r="N75"/>
      <x:c r="O75" s="5" t="n">
        <x:v>21.949379</x:v>
      </x:c>
      <x:c r="P75" s="7" t="n">
        <x:v>17720772919296</x:v>
      </x:c>
      <x:c r="Q75" s="7" t="n">
        <x:v>1772077.2919296</x:v>
      </x:c>
      <x:c r="R75" t="str">
        <x:v>Energy</x:v>
      </x:c>
      <x:c r="S75" t="str">
        <x:v>Oil &amp; Gas Refining &amp; Marketing</x:v>
      </x:c>
      <x:c r="T75" t="str">
        <x:v>INR</x:v>
      </x:c>
      <x:c r="U75"/>
      <x:c r="V75" t="str">
        <x:v>2026-06-19</x:v>
      </x:c>
      <x:c r="W75" t="str">
        <x:v>True</x:v>
      </x:c>
      <x:c r="X75" s="8" t="n">
        <x:v>65.625</x:v>
      </x:c>
      <x:c r="Y75" s="8" t="n">
        <x:v>25</x:v>
      </x:c>
      <x:c r="Z75" s="8" t="n">
        <x:v>29.53125</x:v>
      </x:c>
      <x:c r="AA75" s="8" t="n">
        <x:v>13.750000000000002</x:v>
      </x:c>
      <x:c r="AB75" s="8" t="n">
        <x:v>43.28125</x:v>
      </x:c>
      <x:c r="AC75" s="9" t="n">
        <x:v>-0.38647138143368465</x:v>
      </x:c>
      <x:c r="AD75" t="str">
        <x:v>1Y return below 10%</x:v>
      </x:c>
      <x:c r="AE75" t="str">
        <x:v>False</x:v>
      </x:c>
      <x:c r="AF75" t="str">
        <x:v>https://finance.yahoo.com/quote/RELIANCE.NS</x:v>
      </x:c>
    </x:row>
    <x:row r="76">
      <x:c r="A76" t="str">
        <x:v>SBI Life Insurance Company Ltd.</x:v>
      </x:c>
      <x:c r="B76" t="str">
        <x:v>Financial Services</x:v>
      </x:c>
      <x:c r="C76" t="str">
        <x:v>SBILIFE</x:v>
      </x:c>
      <x:c r="D76" t="str">
        <x:v>EQ</x:v>
      </x:c>
      <x:c r="E76" t="str">
        <x:v>INE123W01016</x:v>
      </x:c>
      <x:c r="F76" t="str">
        <x:v>SBILIFE.NS</x:v>
      </x:c>
      <x:c r="G76" s="10" t="n">
        <x:v>1800.199951171875</x:v>
      </x:c>
      <x:c r="H76" s="6" t="n">
        <x:v>0.007434001055852013</x:v>
      </x:c>
      <x:c r="I76" s="6" t="n">
        <x:v>0.19593805180082566</x:v>
      </x:c>
      <x:c r="J76" s="6" t="n">
        <x:v>-0.19019178166648065</x:v>
      </x:c>
      <x:c r="K76" t="n">
        <x:v>250</x:v>
      </x:c>
      <x:c r="L76" t="str">
        <x:v>2025-06-19</x:v>
      </x:c>
      <x:c r="M76" t="str">
        <x:v>2026-06-19</x:v>
      </x:c>
      <x:c r="N76"/>
      <x:c r="O76" s="5" t="n">
        <x:v>73.26821</x:v>
      </x:c>
      <x:c r="P76" s="7" t="n">
        <x:v>1805909360640</x:v>
      </x:c>
      <x:c r="Q76" s="7" t="n">
        <x:v>180590.936064</x:v>
      </x:c>
      <x:c r="R76" t="str">
        <x:v>Financial Services</x:v>
      </x:c>
      <x:c r="S76" t="str">
        <x:v>Insurance - Life</x:v>
      </x:c>
      <x:c r="T76" t="str">
        <x:v>INR</x:v>
      </x:c>
      <x:c r="U76"/>
      <x:c r="V76" t="str">
        <x:v>2026-06-19</x:v>
      </x:c>
      <x:c r="W76" t="str">
        <x:v>True</x:v>
      </x:c>
      <x:c r="X76" s="8" t="n">
        <x:v>15.625</x:v>
      </x:c>
      <x:c r="Y76" s="8" t="n">
        <x:v>38.54166666666667</x:v>
      </x:c>
      <x:c r="Z76" s="8" t="n">
        <x:v>7.03125</x:v>
      </x:c>
      <x:c r="AA76" s="8" t="n">
        <x:v>21.19791666666667</x:v>
      </x:c>
      <x:c r="AB76" s="8" t="n">
        <x:v>28.22916666666667</x:v>
      </x:c>
      <x:c r="AC76" s="9" t="n">
        <x:v>0.03794056839663181</x:v>
      </x:c>
      <x:c r="AD76" t="str">
        <x:v>P/E above 30; 1Y return below 10%</x:v>
      </x:c>
      <x:c r="AE76" t="str">
        <x:v>False</x:v>
      </x:c>
      <x:c r="AF76" t="str">
        <x:v>https://finance.yahoo.com/quote/SBILIFE.NS</x:v>
      </x:c>
    </x:row>
    <x:row r="77">
      <x:c r="A77" t="str">
        <x:v>State Bank of India</x:v>
      </x:c>
      <x:c r="B77" t="str">
        <x:v>Financial Services</x:v>
      </x:c>
      <x:c r="C77" t="str">
        <x:v>SBIN</x:v>
      </x:c>
      <x:c r="D77" t="str">
        <x:v>EQ</x:v>
      </x:c>
      <x:c r="E77" t="str">
        <x:v>INE062A01020</x:v>
      </x:c>
      <x:c r="F77" t="str">
        <x:v>SBIN.NS</x:v>
      </x:c>
      <x:c r="G77" s="10" t="n">
        <x:v>1035.0999755859375</x:v>
      </x:c>
      <x:c r="H77" s="6" t="n">
        <x:v>0.3421956301084459</x:v>
      </x:c>
      <x:c r="I77" s="6" t="n">
        <x:v>0.22337084698613444</x:v>
      </x:c>
      <x:c r="J77" s="6" t="n">
        <x:v>-0.2211005228820222</x:v>
      </x:c>
      <x:c r="K77" t="n">
        <x:v>250</x:v>
      </x:c>
      <x:c r="L77" t="str">
        <x:v>2025-06-19</x:v>
      </x:c>
      <x:c r="M77" t="str">
        <x:v>2026-06-19</x:v>
      </x:c>
      <x:c r="N77"/>
      <x:c r="O77" s="5" t="n">
        <x:v>11.353516</x:v>
      </x:c>
      <x:c r="P77" s="7" t="n">
        <x:v>9554611929088</x:v>
      </x:c>
      <x:c r="Q77" s="7" t="n">
        <x:v>955461.1929088</x:v>
      </x:c>
      <x:c r="R77" t="str">
        <x:v>Financial Services</x:v>
      </x:c>
      <x:c r="S77" t="str">
        <x:v>Banks - Regional</x:v>
      </x:c>
      <x:c r="T77" t="str">
        <x:v>INR</x:v>
      </x:c>
      <x:c r="U77"/>
      <x:c r="V77" t="str">
        <x:v>2026-06-19</x:v>
      </x:c>
      <x:c r="W77" t="str">
        <x:v>True</x:v>
      </x:c>
      <x:c r="X77" s="8" t="n">
        <x:v>89.58333333333334</x:v>
      </x:c>
      <x:c r="Y77" s="8" t="n">
        <x:v>86.45833333333334</x:v>
      </x:c>
      <x:c r="Z77" s="8" t="n">
        <x:v>40.31250000000001</x:v>
      </x:c>
      <x:c r="AA77" s="8" t="n">
        <x:v>47.55208333333334</x:v>
      </x:c>
      <x:c r="AB77" s="8" t="n">
        <x:v>87.86458333333334</x:v>
      </x:c>
      <x:c r="AC77" s="9" t="n">
        <x:v>1.5319619132289337</x:v>
      </x:c>
      <x:c r="AD77" t="str">
        <x:v>Passed all filters</x:v>
      </x:c>
      <x:c r="AE77" t="str">
        <x:v>True</x:v>
      </x:c>
      <x:c r="AF77" t="str">
        <x:v>https://finance.yahoo.com/quote/SBIN.NS</x:v>
      </x:c>
    </x:row>
    <x:row r="78">
      <x:c r="A78" t="str">
        <x:v>Shree Cement Ltd.</x:v>
      </x:c>
      <x:c r="B78" t="str">
        <x:v>Construction Materials</x:v>
      </x:c>
      <x:c r="C78" t="str">
        <x:v>SHREECEM</x:v>
      </x:c>
      <x:c r="D78" t="str">
        <x:v>EQ</x:v>
      </x:c>
      <x:c r="E78" t="str">
        <x:v>INE070A01015</x:v>
      </x:c>
      <x:c r="F78" t="str">
        <x:v>SHREECEM.NS</x:v>
      </x:c>
      <x:c r="G78" s="10" t="n">
        <x:v>25075</x:v>
      </x:c>
      <x:c r="H78" s="6" t="n">
        <x:v>-0.14039040245455825</x:v>
      </x:c>
      <x:c r="I78" s="6" t="n">
        <x:v>0.21062231925120886</x:v>
      </x:c>
      <x:c r="J78" s="6" t="n">
        <x:v>-0.2954274359655372</x:v>
      </x:c>
      <x:c r="K78" t="n">
        <x:v>250</x:v>
      </x:c>
      <x:c r="L78" t="str">
        <x:v>2025-06-19</x:v>
      </x:c>
      <x:c r="M78" t="str">
        <x:v>2026-06-19</x:v>
      </x:c>
      <x:c r="N78"/>
      <x:c r="O78" s="5" t="n">
        <x:v>51.971066</x:v>
      </x:c>
      <x:c r="P78" s="7" t="n">
        <x:v>904724742144</x:v>
      </x:c>
      <x:c r="Q78" s="7" t="n">
        <x:v>90472.4742144</x:v>
      </x:c>
      <x:c r="R78" t="str">
        <x:v>Basic Materials</x:v>
      </x:c>
      <x:c r="S78" t="str">
        <x:v>Building Materials</x:v>
      </x:c>
      <x:c r="T78" t="str">
        <x:v>INR</x:v>
      </x:c>
      <x:c r="U78"/>
      <x:c r="V78" t="str">
        <x:v>2026-06-19</x:v>
      </x:c>
      <x:c r="W78" t="str">
        <x:v>True</x:v>
      </x:c>
      <x:c r="X78" s="8" t="n">
        <x:v>29.166666666666668</x:v>
      </x:c>
      <x:c r="Y78" s="8" t="n">
        <x:v>18.75</x:v>
      </x:c>
      <x:c r="Z78" s="8" t="n">
        <x:v>13.125</x:v>
      </x:c>
      <x:c r="AA78" s="8" t="n">
        <x:v>10.3125</x:v>
      </x:c>
      <x:c r="AB78" s="8" t="n">
        <x:v>23.4375</x:v>
      </x:c>
      <x:c r="AC78" s="9" t="n">
        <x:v>-0.6665504536920176</x:v>
      </x:c>
      <x:c r="AD78" t="str">
        <x:v>P/E above 30; 1Y return below 10%</x:v>
      </x:c>
      <x:c r="AE78" t="str">
        <x:v>False</x:v>
      </x:c>
      <x:c r="AF78" t="str">
        <x:v>https://finance.yahoo.com/quote/SHREECEM.NS</x:v>
      </x:c>
    </x:row>
    <x:row r="79">
      <x:c r="A79" t="str">
        <x:v>Shriram Finance Ltd.</x:v>
      </x:c>
      <x:c r="B79" t="str">
        <x:v>Financial Services</x:v>
      </x:c>
      <x:c r="C79" t="str">
        <x:v>SHRIRAMFIN</x:v>
      </x:c>
      <x:c r="D79" t="str">
        <x:v>EQ</x:v>
      </x:c>
      <x:c r="E79" t="str">
        <x:v>INE721A01047</x:v>
      </x:c>
      <x:c r="F79" t="str">
        <x:v>SHRIRAMFIN.NS</x:v>
      </x:c>
      <x:c r="G79" s="10" t="n">
        <x:v>1001.9000244140625</x:v>
      </x:c>
      <x:c r="H79" s="6" t="n">
        <x:v>0.5524795403448548</x:v>
      </x:c>
      <x:c r="I79" s="6" t="n">
        <x:v>0.35407338712594755</x:v>
      </x:c>
      <x:c r="J79" s="6" t="n">
        <x:v>-0.21048343756903476</x:v>
      </x:c>
      <x:c r="K79" t="n">
        <x:v>250</x:v>
      </x:c>
      <x:c r="L79" t="str">
        <x:v>2025-06-19</x:v>
      </x:c>
      <x:c r="M79" t="str">
        <x:v>2026-06-19</x:v>
      </x:c>
      <x:c r="N79"/>
      <x:c r="O79" s="5" t="n">
        <x:v>18.832706</x:v>
      </x:c>
      <x:c r="P79" s="7" t="n">
        <x:v>2357385756672</x:v>
      </x:c>
      <x:c r="Q79" s="7" t="n">
        <x:v>235738.5756672</x:v>
      </x:c>
      <x:c r="R79" t="str">
        <x:v>Financial Services</x:v>
      </x:c>
      <x:c r="S79" t="str">
        <x:v>Credit Services</x:v>
      </x:c>
      <x:c r="T79" t="str">
        <x:v>INR</x:v>
      </x:c>
      <x:c r="U79"/>
      <x:c r="V79" t="str">
        <x:v>2026-06-19</x:v>
      </x:c>
      <x:c r="W79" t="str">
        <x:v>True</x:v>
      </x:c>
      <x:c r="X79" s="8" t="n">
        <x:v>69.79166666666666</x:v>
      </x:c>
      <x:c r="Y79" s="8" t="n">
        <x:v>94.79166666666666</x:v>
      </x:c>
      <x:c r="Z79" s="8" t="n">
        <x:v>31.406249999999996</x:v>
      </x:c>
      <x:c r="AA79" s="8" t="n">
        <x:v>52.135416666666664</x:v>
      </x:c>
      <x:c r="AB79" s="8" t="n">
        <x:v>83.54166666666666</x:v>
      </x:c>
      <x:c r="AC79" s="9" t="n">
        <x:v>1.5603531935268893</x:v>
      </x:c>
      <x:c r="AD79" t="str">
        <x:v>Passed all filters</x:v>
      </x:c>
      <x:c r="AE79" t="str">
        <x:v>True</x:v>
      </x:c>
      <x:c r="AF79" t="str">
        <x:v>https://finance.yahoo.com/quote/SHRIRAMFIN.NS</x:v>
      </x:c>
    </x:row>
    <x:row r="80">
      <x:c r="A80" t="str">
        <x:v>Siemens Ltd.</x:v>
      </x:c>
      <x:c r="B80" t="str">
        <x:v>Capital Goods</x:v>
      </x:c>
      <x:c r="C80" t="str">
        <x:v>SIEMENS</x:v>
      </x:c>
      <x:c r="D80" t="str">
        <x:v>EQ</x:v>
      </x:c>
      <x:c r="E80" t="str">
        <x:v>INE003A01024</x:v>
      </x:c>
      <x:c r="F80" t="str">
        <x:v>SIEMENS.NS</x:v>
      </x:c>
      <x:c r="G80" s="10" t="n">
        <x:v>3759.60009765625</x:v>
      </x:c>
      <x:c r="H80" s="6" t="n">
        <x:v>0.14454458163976014</x:v>
      </x:c>
      <x:c r="I80" s="6" t="n">
        <x:v>0.30155245372039974</x:v>
      </x:c>
      <x:c r="J80" s="6" t="n">
        <x:v>-0.15283268471189593</x:v>
      </x:c>
      <x:c r="K80" t="n">
        <x:v>249</x:v>
      </x:c>
      <x:c r="L80" t="str">
        <x:v>2025-06-19</x:v>
      </x:c>
      <x:c r="M80" t="str">
        <x:v>2026-06-19</x:v>
      </x:c>
      <x:c r="N80"/>
      <x:c r="O80" s="5" t="n">
        <x:v>79.51777</x:v>
      </x:c>
      <x:c r="P80" s="7" t="n">
        <x:v>1338870726656</x:v>
      </x:c>
      <x:c r="Q80" s="7" t="n">
        <x:v>133887.0726656</x:v>
      </x:c>
      <x:c r="R80" t="str">
        <x:v>Industrials</x:v>
      </x:c>
      <x:c r="S80" t="str">
        <x:v>Specialty Industrial Machinery</x:v>
      </x:c>
      <x:c r="T80" t="str">
        <x:v>INR</x:v>
      </x:c>
      <x:c r="U80"/>
      <x:c r="V80" t="str">
        <x:v>2026-06-19</x:v>
      </x:c>
      <x:c r="W80" t="str">
        <x:v>True</x:v>
      </x:c>
      <x:c r="X80" s="8" t="n">
        <x:v>11.458333333333332</x:v>
      </x:c>
      <x:c r="Y80" s="8" t="n">
        <x:v>63.541666666666664</x:v>
      </x:c>
      <x:c r="Z80" s="8" t="n">
        <x:v>5.15625</x:v>
      </x:c>
      <x:c r="AA80" s="8" t="n">
        <x:v>34.94791666666667</x:v>
      </x:c>
      <x:c r="AB80" s="8" t="n">
        <x:v>40.10416666666667</x:v>
      </x:c>
      <x:c r="AC80" s="9" t="n">
        <x:v>0.47933478854654676</x:v>
      </x:c>
      <x:c r="AD80" t="str">
        <x:v>P/E above 30</x:v>
      </x:c>
      <x:c r="AE80" t="str">
        <x:v>False</x:v>
      </x:c>
      <x:c r="AF80" t="str">
        <x:v>https://finance.yahoo.com/quote/SIEMENS.NS</x:v>
      </x:c>
    </x:row>
    <x:row r="81">
      <x:c r="A81" t="str">
        <x:v>Solar Industries India Ltd.</x:v>
      </x:c>
      <x:c r="B81" t="str">
        <x:v>Chemicals</x:v>
      </x:c>
      <x:c r="C81" t="str">
        <x:v>SOLARINDS</x:v>
      </x:c>
      <x:c r="D81" t="str">
        <x:v>EQ</x:v>
      </x:c>
      <x:c r="E81" t="str">
        <x:v>INE343H01029</x:v>
      </x:c>
      <x:c r="F81" t="str">
        <x:v>SOLARINDS.NS</x:v>
      </x:c>
      <x:c r="G81" s="10" t="n">
        <x:v>18052</x:v>
      </x:c>
      <x:c r="H81" s="6" t="n">
        <x:v>0.06994467618068279</x:v>
      </x:c>
      <x:c r="I81" s="6" t="n">
        <x:v>0.3155397927599819</x:v>
      </x:c>
      <x:c r="J81" s="6" t="n">
        <x:v>-0.3306599401695942</x:v>
      </x:c>
      <x:c r="K81" t="n">
        <x:v>249</x:v>
      </x:c>
      <x:c r="L81" t="str">
        <x:v>2025-06-19</x:v>
      </x:c>
      <x:c r="M81" t="str">
        <x:v>2026-06-19</x:v>
      </x:c>
      <x:c r="N81"/>
      <x:c r="O81" s="5" t="n">
        <x:v>97.652275</x:v>
      </x:c>
      <x:c r="P81" s="7" t="n">
        <x:v>1633526480896</x:v>
      </x:c>
      <x:c r="Q81" s="7" t="n">
        <x:v>163352.6480896</x:v>
      </x:c>
      <x:c r="R81" t="str">
        <x:v>Basic Materials</x:v>
      </x:c>
      <x:c r="S81" t="str">
        <x:v>Specialty Chemicals</x:v>
      </x:c>
      <x:c r="T81" t="str">
        <x:v>INR</x:v>
      </x:c>
      <x:c r="U81"/>
      <x:c r="V81" t="str">
        <x:v>2026-06-19</x:v>
      </x:c>
      <x:c r="W81" t="str">
        <x:v>True</x:v>
      </x:c>
      <x:c r="X81" s="8" t="n">
        <x:v>8.333333333333332</x:v>
      </x:c>
      <x:c r="Y81" s="8" t="n">
        <x:v>52.083333333333336</x:v>
      </x:c>
      <x:c r="Z81" s="8" t="n">
        <x:v>3.7499999999999996</x:v>
      </x:c>
      <x:c r="AA81" s="8" t="n">
        <x:v>28.645833333333336</x:v>
      </x:c>
      <x:c r="AB81" s="8" t="n">
        <x:v>32.395833333333336</x:v>
      </x:c>
      <x:c r="AC81" s="9" t="n">
        <x:v>0.22166673676523208</x:v>
      </x:c>
      <x:c r="AD81" t="str">
        <x:v>P/E above 30; 1Y return below 10%</x:v>
      </x:c>
      <x:c r="AE81" t="str">
        <x:v>False</x:v>
      </x:c>
      <x:c r="AF81" t="str">
        <x:v>https://finance.yahoo.com/quote/SOLARINDS.NS</x:v>
      </x:c>
    </x:row>
    <x:row r="82">
      <x:c r="A82" t="str">
        <x:v>Sun Pharmaceutical Industries Ltd.</x:v>
      </x:c>
      <x:c r="B82" t="str">
        <x:v>Healthcare</x:v>
      </x:c>
      <x:c r="C82" t="str">
        <x:v>SUNPHARMA</x:v>
      </x:c>
      <x:c r="D82" t="str">
        <x:v>EQ</x:v>
      </x:c>
      <x:c r="E82" t="str">
        <x:v>INE044A01036</x:v>
      </x:c>
      <x:c r="F82" t="str">
        <x:v>SUNPHARMA.NS</x:v>
      </x:c>
      <x:c r="G82" s="10" t="n">
        <x:v>1838.300048828125</x:v>
      </x:c>
      <x:c r="H82" s="6" t="n">
        <x:v>0.12668854351751846</x:v>
      </x:c>
      <x:c r="I82" s="6" t="n">
        <x:v>0.1959260288722595</x:v>
      </x:c>
      <x:c r="J82" s="6" t="n">
        <x:v>-0.13228863340450492</x:v>
      </x:c>
      <x:c r="K82" t="n">
        <x:v>250</x:v>
      </x:c>
      <x:c r="L82" t="str">
        <x:v>2025-06-19</x:v>
      </x:c>
      <x:c r="M82" t="str">
        <x:v>2026-06-19</x:v>
      </x:c>
      <x:c r="N82"/>
      <x:c r="O82" s="5" t="n">
        <x:v>38.522633</x:v>
      </x:c>
      <x:c r="P82" s="7" t="n">
        <x:v>4410697580544</x:v>
      </x:c>
      <x:c r="Q82" s="7" t="n">
        <x:v>441069.7580544</x:v>
      </x:c>
      <x:c r="R82" t="str">
        <x:v>Healthcare</x:v>
      </x:c>
      <x:c r="S82" t="str">
        <x:v>Drug Manufacturers - Specialty &amp; Generic</x:v>
      </x:c>
      <x:c r="T82" t="str">
        <x:v>INR</x:v>
      </x:c>
      <x:c r="U82"/>
      <x:c r="V82" t="str">
        <x:v>2026-06-19</x:v>
      </x:c>
      <x:c r="W82" t="str">
        <x:v>True</x:v>
      </x:c>
      <x:c r="X82" s="8" t="n">
        <x:v>42.70833333333333</x:v>
      </x:c>
      <x:c r="Y82" s="8" t="n">
        <x:v>59.375</x:v>
      </x:c>
      <x:c r="Z82" s="8" t="n">
        <x:v>19.21875</x:v>
      </x:c>
      <x:c r="AA82" s="8" t="n">
        <x:v>32.65625</x:v>
      </x:c>
      <x:c r="AB82" s="8" t="n">
        <x:v>51.875</x:v>
      </x:c>
      <x:c r="AC82" s="9" t="n">
        <x:v>0.6466141545701275</x:v>
      </x:c>
      <x:c r="AD82" t="str">
        <x:v>P/E above 30</x:v>
      </x:c>
      <x:c r="AE82" t="str">
        <x:v>False</x:v>
      </x:c>
      <x:c r="AF82" t="str">
        <x:v>https://finance.yahoo.com/quote/SUNPHARMA.NS</x:v>
      </x:c>
    </x:row>
    <x:row r="83">
      <x:c r="A83" t="str">
        <x:v>Tata Capital Ltd.</x:v>
      </x:c>
      <x:c r="B83" t="str">
        <x:v>Financial Services</x:v>
      </x:c>
      <x:c r="C83" t="str">
        <x:v>TATACAP</x:v>
      </x:c>
      <x:c r="D83" t="str">
        <x:v>EQ</x:v>
      </x:c>
      <x:c r="E83" t="str">
        <x:v>INE976I01016</x:v>
      </x:c>
      <x:c r="F83" t="str">
        <x:v>TATACAP.NS</x:v>
      </x:c>
      <x:c r="G83" s="10"/>
      <x:c r="H83" s="6"/>
      <x:c r="I83" s="6"/>
      <x:c r="J83" s="6"/>
      <x:c r="K83" t="n">
        <x:v>171</x:v>
      </x:c>
      <x:c r="L83"/>
      <x:c r="M83"/>
      <x:c r="N83" t="str">
        <x:v>Fewer than 200 observations</x:v>
      </x:c>
      <x:c r="O83" s="5" t="n">
        <x:v>31.163975</x:v>
      </x:c>
      <x:c r="P83" s="7" t="n">
        <x:v>1546682892288</x:v>
      </x:c>
      <x:c r="Q83" s="7" t="n">
        <x:v>154668.2892288</x:v>
      </x:c>
      <x:c r="R83" t="str">
        <x:v>Financial Services</x:v>
      </x:c>
      <x:c r="S83" t="str">
        <x:v>Credit Services</x:v>
      </x:c>
      <x:c r="T83" t="str">
        <x:v>INR</x:v>
      </x:c>
      <x:c r="U83"/>
      <x:c r="V83" t="str">
        <x:v>2026-06-19</x:v>
      </x:c>
      <x:c r="W83" t="str">
        <x:v>False</x:v>
      </x:c>
      <x:c r="X83" s="8"/>
      <x:c r="Y83" s="8"/>
      <x:c r="Z83" s="8"/>
      <x:c r="AA83" s="8"/>
      <x:c r="AB83" s="8"/>
      <x:c r="AC83" s="9"/>
      <x:c r="AD83" t="str">
        <x:v>P/E above 30; Missing 1Y return</x:v>
      </x:c>
      <x:c r="AE83" t="str">
        <x:v>False</x:v>
      </x:c>
      <x:c r="AF83" t="str">
        <x:v>https://finance.yahoo.com/quote/TATACAP.NS</x:v>
      </x:c>
    </x:row>
    <x:row r="84">
      <x:c r="A84" t="str">
        <x:v>Tata Consumer Products Ltd.</x:v>
      </x:c>
      <x:c r="B84" t="str">
        <x:v>Fast Moving Consumer Goods</x:v>
      </x:c>
      <x:c r="C84" t="str">
        <x:v>TATACONSUM</x:v>
      </x:c>
      <x:c r="D84" t="str">
        <x:v>EQ</x:v>
      </x:c>
      <x:c r="E84" t="str">
        <x:v>INE192A01025</x:v>
      </x:c>
      <x:c r="F84" t="str">
        <x:v>TATACONSUM.NS</x:v>
      </x:c>
      <x:c r="G84" s="10" t="n">
        <x:v>1111.5</x:v>
      </x:c>
      <x:c r="H84" s="6" t="n">
        <x:v>0.029959681232430313</x:v>
      </x:c>
      <x:c r="I84" s="6" t="n">
        <x:v>0.21962305075774627</x:v>
      </x:c>
      <x:c r="J84" s="6" t="n">
        <x:v>-0.16312051985585363</x:v>
      </x:c>
      <x:c r="K84" t="n">
        <x:v>250</x:v>
      </x:c>
      <x:c r="L84" t="str">
        <x:v>2025-06-19</x:v>
      </x:c>
      <x:c r="M84" t="str">
        <x:v>2026-06-19</x:v>
      </x:c>
      <x:c r="N84"/>
      <x:c r="O84" s="5" t="n">
        <x:v>71.11324</x:v>
      </x:c>
      <x:c r="P84" s="7" t="n">
        <x:v>1099990695936</x:v>
      </x:c>
      <x:c r="Q84" s="7" t="n">
        <x:v>109999.0695936</x:v>
      </x:c>
      <x:c r="R84" t="str">
        <x:v>Consumer Defensive</x:v>
      </x:c>
      <x:c r="S84" t="str">
        <x:v>Packaged Foods</x:v>
      </x:c>
      <x:c r="T84" t="str">
        <x:v>INR</x:v>
      </x:c>
      <x:c r="U84"/>
      <x:c r="V84" t="str">
        <x:v>2026-06-19</x:v>
      </x:c>
      <x:c r="W84" t="str">
        <x:v>True</x:v>
      </x:c>
      <x:c r="X84" s="8" t="n">
        <x:v>16.666666666666664</x:v>
      </x:c>
      <x:c r="Y84" s="8" t="n">
        <x:v>41.66666666666667</x:v>
      </x:c>
      <x:c r="Z84" s="8" t="n">
        <x:v>7.499999999999999</x:v>
      </x:c>
      <x:c r="AA84" s="8" t="n">
        <x:v>22.91666666666667</x:v>
      </x:c>
      <x:c r="AB84" s="8" t="n">
        <x:v>30.41666666666667</x:v>
      </x:c>
      <x:c r="AC84" s="9" t="n">
        <x:v>0.13641410193084486</x:v>
      </x:c>
      <x:c r="AD84" t="str">
        <x:v>P/E above 30; 1Y return below 10%</x:v>
      </x:c>
      <x:c r="AE84" t="str">
        <x:v>False</x:v>
      </x:c>
      <x:c r="AF84" t="str">
        <x:v>https://finance.yahoo.com/quote/TATACONSUM.NS</x:v>
      </x:c>
    </x:row>
    <x:row r="85">
      <x:c r="A85" t="str">
        <x:v>Tata Power Co. Ltd.</x:v>
      </x:c>
      <x:c r="B85" t="str">
        <x:v>Power</x:v>
      </x:c>
      <x:c r="C85" t="str">
        <x:v>TATAPOWER</x:v>
      </x:c>
      <x:c r="D85" t="str">
        <x:v>EQ</x:v>
      </x:c>
      <x:c r="E85" t="str">
        <x:v>INE245A01021</x:v>
      </x:c>
      <x:c r="F85" t="str">
        <x:v>TATAPOWER.NS</x:v>
      </x:c>
      <x:c r="G85" s="10" t="n">
        <x:v>402.3500061035156</x:v>
      </x:c>
      <x:c r="H85" s="6" t="n">
        <x:v>0.052445772824363246</x:v>
      </x:c>
      <x:c r="I85" s="6" t="n">
        <x:v>0.20800853259357746</x:v>
      </x:c>
      <x:c r="J85" s="6" t="n">
        <x:v>-0.1674704850800912</x:v>
      </x:c>
      <x:c r="K85" t="n">
        <x:v>250</x:v>
      </x:c>
      <x:c r="L85" t="str">
        <x:v>2025-06-19</x:v>
      </x:c>
      <x:c r="M85" t="str">
        <x:v>2026-06-19</x:v>
      </x:c>
      <x:c r="N85"/>
      <x:c r="O85" s="5" t="n">
        <x:v>34.359524</x:v>
      </x:c>
      <x:c r="P85" s="7" t="n">
        <x:v>1285644877824</x:v>
      </x:c>
      <x:c r="Q85" s="7" t="n">
        <x:v>128564.4877824</x:v>
      </x:c>
      <x:c r="R85" t="str">
        <x:v>Utilities</x:v>
      </x:c>
      <x:c r="S85" t="str">
        <x:v>Utilities - Independent Power Producers</x:v>
      </x:c>
      <x:c r="T85" t="str">
        <x:v>INR</x:v>
      </x:c>
      <x:c r="U85"/>
      <x:c r="V85" t="str">
        <x:v>2026-06-19</x:v>
      </x:c>
      <x:c r="W85" t="str">
        <x:v>True</x:v>
      </x:c>
      <x:c r="X85" s="8" t="n">
        <x:v>47.91666666666667</x:v>
      </x:c>
      <x:c r="Y85" s="8" t="n">
        <x:v>46.875</x:v>
      </x:c>
      <x:c r="Z85" s="8" t="n">
        <x:v>21.562500000000004</x:v>
      </x:c>
      <x:c r="AA85" s="8" t="n">
        <x:v>25.781250000000004</x:v>
      </x:c>
      <x:c r="AB85" s="8" t="n">
        <x:v>47.34375000000001</x:v>
      </x:c>
      <x:c r="AC85" s="9" t="n">
        <x:v>0.25213279556582274</x:v>
      </x:c>
      <x:c r="AD85" t="str">
        <x:v>P/E above 30; 1Y return below 10%</x:v>
      </x:c>
      <x:c r="AE85" t="str">
        <x:v>False</x:v>
      </x:c>
      <x:c r="AF85" t="str">
        <x:v>https://finance.yahoo.com/quote/TATAPOWER.NS</x:v>
      </x:c>
    </x:row>
    <x:row r="86">
      <x:c r="A86" t="str">
        <x:v>Tata Steel Ltd.</x:v>
      </x:c>
      <x:c r="B86" t="str">
        <x:v>Metals &amp; Mining</x:v>
      </x:c>
      <x:c r="C86" t="str">
        <x:v>TATASTEEL</x:v>
      </x:c>
      <x:c r="D86" t="str">
        <x:v>EQ</x:v>
      </x:c>
      <x:c r="E86" t="str">
        <x:v>INE081A01020</x:v>
      </x:c>
      <x:c r="F86" t="str">
        <x:v>TATASTEEL.NS</x:v>
      </x:c>
      <x:c r="G86" s="10" t="n">
        <x:v>198.9600067138672</x:v>
      </x:c>
      <x:c r="H86" s="6" t="n">
        <x:v>0.3447888392486038</x:v>
      </x:c>
      <x:c r="I86" s="6" t="n">
        <x:v>0.26947644029137874</x:v>
      </x:c>
      <x:c r="J86" s="6" t="n">
        <x:v>-0.1485245743852014</x:v>
      </x:c>
      <x:c r="K86" t="n">
        <x:v>250</x:v>
      </x:c>
      <x:c r="L86" t="str">
        <x:v>2025-06-19</x:v>
      </x:c>
      <x:c r="M86" t="str">
        <x:v>2026-06-19</x:v>
      </x:c>
      <x:c r="N86"/>
      <x:c r="O86" s="5" t="n">
        <x:v>23.027777</x:v>
      </x:c>
      <x:c r="P86" s="7" t="n">
        <x:v>2481399005184</x:v>
      </x:c>
      <x:c r="Q86" s="7" t="n">
        <x:v>248139.9005184</x:v>
      </x:c>
      <x:c r="R86" t="str">
        <x:v>Basic Materials</x:v>
      </x:c>
      <x:c r="S86" t="str">
        <x:v>Steel</x:v>
      </x:c>
      <x:c r="T86" t="str">
        <x:v>INR</x:v>
      </x:c>
      <x:c r="U86"/>
      <x:c r="V86" t="str">
        <x:v>2026-06-19</x:v>
      </x:c>
      <x:c r="W86" t="str">
        <x:v>True</x:v>
      </x:c>
      <x:c r="X86" s="8" t="n">
        <x:v>62.5</x:v>
      </x:c>
      <x:c r="Y86" s="8" t="n">
        <x:v>87.5</x:v>
      </x:c>
      <x:c r="Z86" s="8" t="n">
        <x:v>28.125</x:v>
      </x:c>
      <x:c r="AA86" s="8" t="n">
        <x:v>48.12500000000001</x:v>
      </x:c>
      <x:c r="AB86" s="8" t="n">
        <x:v>76.25</x:v>
      </x:c>
      <x:c r="AC86" s="9" t="n">
        <x:v>1.2794767471167108</x:v>
      </x:c>
      <x:c r="AD86" t="str">
        <x:v>Passed all filters</x:v>
      </x:c>
      <x:c r="AE86" t="str">
        <x:v>True</x:v>
      </x:c>
      <x:c r="AF86" t="str">
        <x:v>https://finance.yahoo.com/quote/TATASTEEL.NS</x:v>
      </x:c>
    </x:row>
    <x:row r="87">
      <x:c r="A87" t="str">
        <x:v>Tata Consultancy Services Ltd.</x:v>
      </x:c>
      <x:c r="B87" t="str">
        <x:v>Information Technology</x:v>
      </x:c>
      <x:c r="C87" t="str">
        <x:v>TCS</x:v>
      </x:c>
      <x:c r="D87" t="str">
        <x:v>EQ</x:v>
      </x:c>
      <x:c r="E87" t="str">
        <x:v>INE467B01029</x:v>
      </x:c>
      <x:c r="F87" t="str">
        <x:v>TCS.NS</x:v>
      </x:c>
      <x:c r="G87" s="10" t="n">
        <x:v>2125</x:v>
      </x:c>
      <x:c r="H87" s="6" t="n">
        <x:v>-0.3549602953013111</x:v>
      </x:c>
      <x:c r="I87" s="6" t="n">
        <x:v>0.24705125062739777</x:v>
      </x:c>
      <x:c r="J87" s="6" t="n">
        <x:v>-0.362040438603062</x:v>
      </x:c>
      <x:c r="K87" t="n">
        <x:v>250</x:v>
      </x:c>
      <x:c r="L87" t="str">
        <x:v>2025-06-19</x:v>
      </x:c>
      <x:c r="M87" t="str">
        <x:v>2026-06-19</x:v>
      </x:c>
      <x:c r="N87"/>
      <x:c r="O87" s="5" t="n">
        <x:v>15.611226</x:v>
      </x:c>
      <x:c r="P87" s="7" t="n">
        <x:v>7688435531776</x:v>
      </x:c>
      <x:c r="Q87" s="7" t="n">
        <x:v>768843.5531776</x:v>
      </x:c>
      <x:c r="R87" t="str">
        <x:v>Technology</x:v>
      </x:c>
      <x:c r="S87" t="str">
        <x:v>Information Technology Services</x:v>
      </x:c>
      <x:c r="T87" t="str">
        <x:v>INR</x:v>
      </x:c>
      <x:c r="U87"/>
      <x:c r="V87" t="str">
        <x:v>2026-06-19</x:v>
      </x:c>
      <x:c r="W87" t="str">
        <x:v>True</x:v>
      </x:c>
      <x:c r="X87" s="8" t="n">
        <x:v>80.20833333333334</x:v>
      </x:c>
      <x:c r="Y87" s="8" t="n">
        <x:v>2.083333333333333</x:v>
      </x:c>
      <x:c r="Z87" s="8" t="n">
        <x:v>36.09375000000001</x:v>
      </x:c>
      <x:c r="AA87" s="8" t="n">
        <x:v>1.1458333333333333</x:v>
      </x:c>
      <x:c r="AB87" s="8" t="n">
        <x:v>37.23958333333334</x:v>
      </x:c>
      <x:c r="AC87" s="9" t="n">
        <x:v>-1.436788093158296</x:v>
      </x:c>
      <x:c r="AD87" t="str">
        <x:v>1Y return below 10%</x:v>
      </x:c>
      <x:c r="AE87" t="str">
        <x:v>False</x:v>
      </x:c>
      <x:c r="AF87" t="str">
        <x:v>https://finance.yahoo.com/quote/TCS.NS</x:v>
      </x:c>
    </x:row>
    <x:row r="88">
      <x:c r="A88" t="str">
        <x:v>Tech Mahindra Ltd.</x:v>
      </x:c>
      <x:c r="B88" t="str">
        <x:v>Information Technology</x:v>
      </x:c>
      <x:c r="C88" t="str">
        <x:v>TECHM</x:v>
      </x:c>
      <x:c r="D88" t="str">
        <x:v>EQ</x:v>
      </x:c>
      <x:c r="E88" t="str">
        <x:v>INE669C01036</x:v>
      </x:c>
      <x:c r="F88" t="str">
        <x:v>TECHM.NS</x:v>
      </x:c>
      <x:c r="G88" s="10" t="n">
        <x:v>1409.5999755859375</x:v>
      </x:c>
      <x:c r="H88" s="6" t="n">
        <x:v>-0.13872660090053213</x:v>
      </x:c>
      <x:c r="I88" s="6" t="n">
        <x:v>0.2639702591119383</x:v>
      </x:c>
      <x:c r="J88" s="6" t="n">
        <x:v>-0.24694643022688412</x:v>
      </x:c>
      <x:c r="K88" t="n">
        <x:v>250</x:v>
      </x:c>
      <x:c r="L88" t="str">
        <x:v>2025-06-19</x:v>
      </x:c>
      <x:c r="M88" t="str">
        <x:v>2026-06-19</x:v>
      </x:c>
      <x:c r="N88"/>
      <x:c r="O88" s="5" t="n">
        <x:v>25.98341</x:v>
      </x:c>
      <x:c r="P88" s="7" t="n">
        <x:v>1248655179776</x:v>
      </x:c>
      <x:c r="Q88" s="7" t="n">
        <x:v>124865.5179776</x:v>
      </x:c>
      <x:c r="R88" t="str">
        <x:v>Technology</x:v>
      </x:c>
      <x:c r="S88" t="str">
        <x:v>Information Technology Services</x:v>
      </x:c>
      <x:c r="T88" t="str">
        <x:v>INR</x:v>
      </x:c>
      <x:c r="U88"/>
      <x:c r="V88" t="str">
        <x:v>2026-06-19</x:v>
      </x:c>
      <x:c r="W88" t="str">
        <x:v>True</x:v>
      </x:c>
      <x:c r="X88" s="8" t="n">
        <x:v>60.416666666666664</x:v>
      </x:c>
      <x:c r="Y88" s="8" t="n">
        <x:v>19.791666666666664</x:v>
      </x:c>
      <x:c r="Z88" s="8" t="n">
        <x:v>27.1875</x:v>
      </x:c>
      <x:c r="AA88" s="8" t="n">
        <x:v>10.885416666666666</x:v>
      </x:c>
      <x:c r="AB88" s="8" t="n">
        <x:v>38.072916666666664</x:v>
      </x:c>
      <x:c r="AC88" s="9" t="n">
        <x:v>-0.5255387533703342</x:v>
      </x:c>
      <x:c r="AD88" t="str">
        <x:v>1Y return below 10%</x:v>
      </x:c>
      <x:c r="AE88" t="str">
        <x:v>False</x:v>
      </x:c>
      <x:c r="AF88" t="str">
        <x:v>https://finance.yahoo.com/quote/TECHM.NS</x:v>
      </x:c>
    </x:row>
    <x:row r="89">
      <x:c r="A89" t="str">
        <x:v>Titan Company Ltd.</x:v>
      </x:c>
      <x:c r="B89" t="str">
        <x:v>Consumer Durables</x:v>
      </x:c>
      <x:c r="C89" t="str">
        <x:v>TITAN</x:v>
      </x:c>
      <x:c r="D89" t="str">
        <x:v>EQ</x:v>
      </x:c>
      <x:c r="E89" t="str">
        <x:v>INE280A01028</x:v>
      </x:c>
      <x:c r="F89" t="str">
        <x:v>TITAN.NS</x:v>
      </x:c>
      <x:c r="G89" s="10" t="n">
        <x:v>4419.89990234375</x:v>
      </x:c>
      <x:c r="H89" s="6" t="n">
        <x:v>0.2646778349228158</x:v>
      </x:c>
      <x:c r="I89" s="6" t="n">
        <x:v>0.2360519418263507</x:v>
      </x:c>
      <x:c r="J89" s="6" t="n">
        <x:v>-0.1127204874941602</x:v>
      </x:c>
      <x:c r="K89" t="n">
        <x:v>250</x:v>
      </x:c>
      <x:c r="L89" t="str">
        <x:v>2025-06-19</x:v>
      </x:c>
      <x:c r="M89" t="str">
        <x:v>2026-06-19</x:v>
      </x:c>
      <x:c r="N89"/>
      <x:c r="O89" s="5" t="n">
        <x:v>77.19001</x:v>
      </x:c>
      <x:c r="P89" s="7" t="n">
        <x:v>3920651091968</x:v>
      </x:c>
      <x:c r="Q89" s="7" t="n">
        <x:v>392065.1091968</x:v>
      </x:c>
      <x:c r="R89" t="str">
        <x:v>Consumer Cyclical</x:v>
      </x:c>
      <x:c r="S89" t="str">
        <x:v>Luxury Goods</x:v>
      </x:c>
      <x:c r="T89" t="str">
        <x:v>INR</x:v>
      </x:c>
      <x:c r="U89"/>
      <x:c r="V89" t="str">
        <x:v>2026-06-19</x:v>
      </x:c>
      <x:c r="W89" t="str">
        <x:v>True</x:v>
      </x:c>
      <x:c r="X89" s="8" t="n">
        <x:v>13.541666666666666</x:v>
      </x:c>
      <x:c r="Y89" s="8" t="n">
        <x:v>80.20833333333334</x:v>
      </x:c>
      <x:c r="Z89" s="8" t="n">
        <x:v>6.09375</x:v>
      </x:c>
      <x:c r="AA89" s="8" t="n">
        <x:v>44.11458333333334</x:v>
      </x:c>
      <x:c r="AB89" s="8" t="n">
        <x:v>50.20833333333334</x:v>
      </x:c>
      <x:c r="AC89" s="9" t="n">
        <x:v>1.1212694666901892</x:v>
      </x:c>
      <x:c r="AD89" t="str">
        <x:v>P/E above 30</x:v>
      </x:c>
      <x:c r="AE89" t="str">
        <x:v>False</x:v>
      </x:c>
      <x:c r="AF89" t="str">
        <x:v>https://finance.yahoo.com/quote/TITAN.NS</x:v>
      </x:c>
    </x:row>
    <x:row r="90">
      <x:c r="A90" t="str">
        <x:v>Tata Motors Ltd.</x:v>
      </x:c>
      <x:c r="B90" t="str">
        <x:v>Capital Goods</x:v>
      </x:c>
      <x:c r="C90" t="str">
        <x:v>TMCV</x:v>
      </x:c>
      <x:c r="D90" t="str">
        <x:v>EQ</x:v>
      </x:c>
      <x:c r="E90" t="str">
        <x:v>INE1TAE01010</x:v>
      </x:c>
      <x:c r="F90" t="str">
        <x:v>TMCV.NS</x:v>
      </x:c>
      <x:c r="G90" s="10"/>
      <x:c r="H90" s="6"/>
      <x:c r="I90" s="6"/>
      <x:c r="J90" s="6"/>
      <x:c r="K90" t="n">
        <x:v>151</x:v>
      </x:c>
      <x:c r="L90"/>
      <x:c r="M90"/>
      <x:c r="N90" t="str">
        <x:v>Fewer than 200 observations</x:v>
      </x:c>
      <x:c r="O90" s="5" t="n">
        <x:v>48.917274</x:v>
      </x:c>
      <x:c r="P90" s="7" t="n">
        <x:v>1480728772608</x:v>
      </x:c>
      <x:c r="Q90" s="7" t="n">
        <x:v>148072.8772608</x:v>
      </x:c>
      <x:c r="R90" t="str">
        <x:v>Consumer Cyclical</x:v>
      </x:c>
      <x:c r="S90" t="str">
        <x:v>Auto Manufacturers</x:v>
      </x:c>
      <x:c r="T90" t="str">
        <x:v>INR</x:v>
      </x:c>
      <x:c r="U90"/>
      <x:c r="V90" t="str">
        <x:v>2026-06-19</x:v>
      </x:c>
      <x:c r="W90" t="str">
        <x:v>False</x:v>
      </x:c>
      <x:c r="X90" s="8"/>
      <x:c r="Y90" s="8"/>
      <x:c r="Z90" s="8"/>
      <x:c r="AA90" s="8"/>
      <x:c r="AB90" s="8"/>
      <x:c r="AC90" s="9"/>
      <x:c r="AD90" t="str">
        <x:v>P/E above 30; Missing 1Y return</x:v>
      </x:c>
      <x:c r="AE90" t="str">
        <x:v>False</x:v>
      </x:c>
      <x:c r="AF90" t="str">
        <x:v>https://finance.yahoo.com/quote/TMCV.NS</x:v>
      </x:c>
    </x:row>
    <x:row r="91">
      <x:c r="A91" t="str">
        <x:v>Tata Motors Passenger Vehicles Ltd.</x:v>
      </x:c>
      <x:c r="B91" t="str">
        <x:v>Automobile and Auto Components</x:v>
      </x:c>
      <x:c r="C91" t="str">
        <x:v>TMPV</x:v>
      </x:c>
      <x:c r="D91" t="str">
        <x:v>EQ</x:v>
      </x:c>
      <x:c r="E91" t="str">
        <x:v>INE155A01022</x:v>
      </x:c>
      <x:c r="F91" t="str">
        <x:v>TMPV.NS</x:v>
      </x:c>
      <x:c r="G91" s="10" t="n">
        <x:v>359.5</x:v>
      </x:c>
      <x:c r="H91" s="6" t="n">
        <x:v>-0.46083269820736117</x:v>
      </x:c>
      <x:c r="I91" s="6" t="n">
        <x:v>0.5056327204470341</x:v>
      </x:c>
      <x:c r="J91" s="6" t="n">
        <x:v>-0.5883252126259644</x:v>
      </x:c>
      <x:c r="K91" t="n">
        <x:v>250</x:v>
      </x:c>
      <x:c r="L91" t="str">
        <x:v>2025-06-19</x:v>
      </x:c>
      <x:c r="M91" t="str">
        <x:v>2026-06-19</x:v>
      </x:c>
      <x:c r="N91"/>
      <x:c r="O91" s="5"/>
      <x:c r="P91" s="7" t="n">
        <x:v>1323835588608</x:v>
      </x:c>
      <x:c r="Q91" s="7" t="n">
        <x:v>132383.5588608</x:v>
      </x:c>
      <x:c r="R91" t="str">
        <x:v>Consumer Cyclical</x:v>
      </x:c>
      <x:c r="S91" t="str">
        <x:v>Auto Manufacturers</x:v>
      </x:c>
      <x:c r="T91" t="str">
        <x:v>INR</x:v>
      </x:c>
      <x:c r="U91"/>
      <x:c r="V91" t="str">
        <x:v>2026-06-19</x:v>
      </x:c>
      <x:c r="W91" t="str">
        <x:v>False</x:v>
      </x:c>
      <x:c r="X91" s="8"/>
      <x:c r="Y91" s="8"/>
      <x:c r="Z91" s="8"/>
      <x:c r="AA91" s="8"/>
      <x:c r="AB91" s="8"/>
      <x:c r="AC91" s="9" t="n">
        <x:v>-0.9113980950440373</x:v>
      </x:c>
      <x:c r="AD91" t="str">
        <x:v>Missing trailing P/E; 1Y return below 10%</x:v>
      </x:c>
      <x:c r="AE91" t="str">
        <x:v>False</x:v>
      </x:c>
      <x:c r="AF91" t="str">
        <x:v>https://finance.yahoo.com/quote/TMPV.NS</x:v>
      </x:c>
    </x:row>
    <x:row r="92">
      <x:c r="A92" t="str">
        <x:v>Torrent Pharmaceuticals Ltd.</x:v>
      </x:c>
      <x:c r="B92" t="str">
        <x:v>Healthcare</x:v>
      </x:c>
      <x:c r="C92" t="str">
        <x:v>TORNTPHARM</x:v>
      </x:c>
      <x:c r="D92" t="str">
        <x:v>EQ</x:v>
      </x:c>
      <x:c r="E92" t="str">
        <x:v>INE685A01028</x:v>
      </x:c>
      <x:c r="F92" t="str">
        <x:v>TORNTPHARM.NS</x:v>
      </x:c>
      <x:c r="G92" s="10" t="n">
        <x:v>4429.7998046875</x:v>
      </x:c>
      <x:c r="H92" s="6" t="n">
        <x:v>0.41514809620454485</x:v>
      </x:c>
      <x:c r="I92" s="6" t="n">
        <x:v>0.20472397413309107</x:v>
      </x:c>
      <x:c r="J92" s="6" t="n">
        <x:v>-0.10319390176386978</x:v>
      </x:c>
      <x:c r="K92" t="n">
        <x:v>250</x:v>
      </x:c>
      <x:c r="L92" t="str">
        <x:v>2025-06-19</x:v>
      </x:c>
      <x:c r="M92" t="str">
        <x:v>2026-06-19</x:v>
      </x:c>
      <x:c r="N92"/>
      <x:c r="O92" s="5" t="n">
        <x:v>69.35651</x:v>
      </x:c>
      <x:c r="P92" s="7" t="n">
        <x:v>1499245576192</x:v>
      </x:c>
      <x:c r="Q92" s="7" t="n">
        <x:v>149924.5576192</x:v>
      </x:c>
      <x:c r="R92" t="str">
        <x:v>Healthcare</x:v>
      </x:c>
      <x:c r="S92" t="str">
        <x:v>Drug Manufacturers - Specialty &amp; Generic</x:v>
      </x:c>
      <x:c r="T92" t="str">
        <x:v>INR</x:v>
      </x:c>
      <x:c r="U92"/>
      <x:c r="V92" t="str">
        <x:v>2026-06-19</x:v>
      </x:c>
      <x:c r="W92" t="str">
        <x:v>True</x:v>
      </x:c>
      <x:c r="X92" s="8" t="n">
        <x:v>18.75</x:v>
      </x:c>
      <x:c r="Y92" s="8" t="n">
        <x:v>91.66666666666666</x:v>
      </x:c>
      <x:c r="Z92" s="8" t="n">
        <x:v>8.4375</x:v>
      </x:c>
      <x:c r="AA92" s="8" t="n">
        <x:v>50.416666666666664</x:v>
      </x:c>
      <x:c r="AB92" s="8" t="n">
        <x:v>58.854166666666664</x:v>
      </x:c>
      <x:c r="AC92" s="9" t="n">
        <x:v>2.027843089518461</x:v>
      </x:c>
      <x:c r="AD92" t="str">
        <x:v>P/E above 30</x:v>
      </x:c>
      <x:c r="AE92" t="str">
        <x:v>False</x:v>
      </x:c>
      <x:c r="AF92" t="str">
        <x:v>https://finance.yahoo.com/quote/TORNTPHARM.NS</x:v>
      </x:c>
    </x:row>
    <x:row r="93">
      <x:c r="A93" t="str">
        <x:v>Trent Ltd.</x:v>
      </x:c>
      <x:c r="B93" t="str">
        <x:v>Consumer Services</x:v>
      </x:c>
      <x:c r="C93" t="str">
        <x:v>TRENT</x:v>
      </x:c>
      <x:c r="D93" t="str">
        <x:v>EQ</x:v>
      </x:c>
      <x:c r="E93" t="str">
        <x:v>INE849A01020</x:v>
      </x:c>
      <x:c r="F93" t="str">
        <x:v>TRENT.NS</x:v>
      </x:c>
      <x:c r="G93" s="10" t="n">
        <x:v>3205.800048828125</x:v>
      </x:c>
      <x:c r="H93" s="6" t="n">
        <x:v>-0.43906047726194664</x:v>
      </x:c>
      <x:c r="I93" s="6" t="n">
        <x:v>0.47231603474566874</x:v>
      </x:c>
      <x:c r="J93" s="6" t="n">
        <x:v>-0.6468943471909394</x:v>
      </x:c>
      <x:c r="K93" t="n">
        <x:v>250</x:v>
      </x:c>
      <x:c r="L93" t="str">
        <x:v>2025-06-19</x:v>
      </x:c>
      <x:c r="M93" t="str">
        <x:v>2026-06-19</x:v>
      </x:c>
      <x:c r="N93"/>
      <x:c r="O93" s="5" t="n">
        <x:v>99.651855</x:v>
      </x:c>
      <x:c r="P93" s="7" t="n">
        <x:v>1709436043264</x:v>
      </x:c>
      <x:c r="Q93" s="7" t="n">
        <x:v>170943.6043264</x:v>
      </x:c>
      <x:c r="R93" t="str">
        <x:v>Consumer Cyclical</x:v>
      </x:c>
      <x:c r="S93" t="str">
        <x:v>Apparel Retail</x:v>
      </x:c>
      <x:c r="T93" t="str">
        <x:v>INR</x:v>
      </x:c>
      <x:c r="U93"/>
      <x:c r="V93" t="str">
        <x:v>2026-06-19</x:v>
      </x:c>
      <x:c r="W93" t="str">
        <x:v>True</x:v>
      </x:c>
      <x:c r="X93" s="8" t="n">
        <x:v>6.25</x:v>
      </x:c>
      <x:c r="Y93" s="8" t="n">
        <x:v>1.0416666666666665</x:v>
      </x:c>
      <x:c r="Z93" s="8" t="n">
        <x:v>2.8125</x:v>
      </x:c>
      <x:c r="AA93" s="8" t="n">
        <x:v>0.5729166666666666</x:v>
      </x:c>
      <x:c r="AB93" s="8" t="n">
        <x:v>3.3854166666666665</x:v>
      </x:c>
      <x:c r="AC93" s="9" t="n">
        <x:v>-0.9295904541931771</x:v>
      </x:c>
      <x:c r="AD93" t="str">
        <x:v>P/E above 30; 1Y return below 10%</x:v>
      </x:c>
      <x:c r="AE93" t="str">
        <x:v>False</x:v>
      </x:c>
      <x:c r="AF93" t="str">
        <x:v>https://finance.yahoo.com/quote/TRENT.NS</x:v>
      </x:c>
    </x:row>
    <x:row r="94">
      <x:c r="A94" t="str">
        <x:v>TVS Motor Company Ltd.</x:v>
      </x:c>
      <x:c r="B94" t="str">
        <x:v>Automobile and Auto Components</x:v>
      </x:c>
      <x:c r="C94" t="str">
        <x:v>TVSMOTOR</x:v>
      </x:c>
      <x:c r="D94" t="str">
        <x:v>EQ</x:v>
      </x:c>
      <x:c r="E94" t="str">
        <x:v>INE494B01023</x:v>
      </x:c>
      <x:c r="F94" t="str">
        <x:v>TVSMOTOR.NS</x:v>
      </x:c>
      <x:c r="G94" s="10" t="n">
        <x:v>3442.89990234375</x:v>
      </x:c>
      <x:c r="H94" s="6" t="n">
        <x:v>0.24282666229539407</x:v>
      </x:c>
      <x:c r="I94" s="6" t="n">
        <x:v>0.26305988281502096</x:v>
      </x:c>
      <x:c r="J94" s="6" t="n">
        <x:v>-0.1667400764647361</x:v>
      </x:c>
      <x:c r="K94" t="n">
        <x:v>250</x:v>
      </x:c>
      <x:c r="L94" t="str">
        <x:v>2025-06-19</x:v>
      </x:c>
      <x:c r="M94" t="str">
        <x:v>2026-06-19</x:v>
      </x:c>
      <x:c r="N94"/>
      <x:c r="O94" s="5" t="n">
        <x:v>54.167713</x:v>
      </x:c>
      <x:c r="P94" s="7" t="n">
        <x:v>1636156440576</x:v>
      </x:c>
      <x:c r="Q94" s="7" t="n">
        <x:v>163615.6440576</x:v>
      </x:c>
      <x:c r="R94" t="str">
        <x:v>Consumer Cyclical</x:v>
      </x:c>
      <x:c r="S94" t="str">
        <x:v>Auto Manufacturers</x:v>
      </x:c>
      <x:c r="T94" t="str">
        <x:v>INR</x:v>
      </x:c>
      <x:c r="U94"/>
      <x:c r="V94" t="str">
        <x:v>2026-06-19</x:v>
      </x:c>
      <x:c r="W94" t="str">
        <x:v>True</x:v>
      </x:c>
      <x:c r="X94" s="8" t="n">
        <x:v>28.125</x:v>
      </x:c>
      <x:c r="Y94" s="8" t="n">
        <x:v>75</x:v>
      </x:c>
      <x:c r="Z94" s="8" t="n">
        <x:v>12.65625</x:v>
      </x:c>
      <x:c r="AA94" s="8" t="n">
        <x:v>41.25</x:v>
      </x:c>
      <x:c r="AB94" s="8" t="n">
        <x:v>53.90625</x:v>
      </x:c>
      <x:c r="AC94" s="9" t="n">
        <x:v>0.923085115437938</x:v>
      </x:c>
      <x:c r="AD94" t="str">
        <x:v>P/E above 30</x:v>
      </x:c>
      <x:c r="AE94" t="str">
        <x:v>False</x:v>
      </x:c>
      <x:c r="AF94" t="str">
        <x:v>https://finance.yahoo.com/quote/TVSMOTOR.NS</x:v>
      </x:c>
    </x:row>
    <x:row r="95">
      <x:c r="A95" t="str">
        <x:v>UltraTech Cement Ltd.</x:v>
      </x:c>
      <x:c r="B95" t="str">
        <x:v>Construction Materials</x:v>
      </x:c>
      <x:c r="C95" t="str">
        <x:v>ULTRACEMCO</x:v>
      </x:c>
      <x:c r="D95" t="str">
        <x:v>EQ</x:v>
      </x:c>
      <x:c r="E95" t="str">
        <x:v>INE481G01011</x:v>
      </x:c>
      <x:c r="F95" t="str">
        <x:v>ULTRACEMCO.NS</x:v>
      </x:c>
      <x:c r="G95" s="10" t="n">
        <x:v>11367</x:v>
      </x:c>
      <x:c r="H95" s="6" t="n">
        <x:v>0.0016682698786669725</x:v>
      </x:c>
      <x:c r="I95" s="6" t="n">
        <x:v>0.22508552500817675</x:v>
      </x:c>
      <x:c r="J95" s="6" t="n">
        <x:v>-0.20609868219429972</x:v>
      </x:c>
      <x:c r="K95" t="n">
        <x:v>250</x:v>
      </x:c>
      <x:c r="L95" t="str">
        <x:v>2025-06-19</x:v>
      </x:c>
      <x:c r="M95" t="str">
        <x:v>2026-06-19</x:v>
      </x:c>
      <x:c r="N95"/>
      <x:c r="O95" s="5" t="n">
        <x:v>40.897316</x:v>
      </x:c>
      <x:c r="P95" s="7" t="n">
        <x:v>3343826288640</x:v>
      </x:c>
      <x:c r="Q95" s="7" t="n">
        <x:v>334382.628864</x:v>
      </x:c>
      <x:c r="R95" t="str">
        <x:v>Basic Materials</x:v>
      </x:c>
      <x:c r="S95" t="str">
        <x:v>Building Materials</x:v>
      </x:c>
      <x:c r="T95" t="str">
        <x:v>INR</x:v>
      </x:c>
      <x:c r="U95"/>
      <x:c r="V95" t="str">
        <x:v>2026-06-19</x:v>
      </x:c>
      <x:c r="W95" t="str">
        <x:v>True</x:v>
      </x:c>
      <x:c r="X95" s="8" t="n">
        <x:v>39.58333333333333</x:v>
      </x:c>
      <x:c r="Y95" s="8" t="n">
        <x:v>37.5</x:v>
      </x:c>
      <x:c r="Z95" s="8" t="n">
        <x:v>17.8125</x:v>
      </x:c>
      <x:c r="AA95" s="8" t="n">
        <x:v>20.625</x:v>
      </x:c>
      <x:c r="AB95" s="8" t="n">
        <x:v>38.4375</x:v>
      </x:c>
      <x:c r="AC95" s="9" t="n">
        <x:v>0.007411715518385151</x:v>
      </x:c>
      <x:c r="AD95" t="str">
        <x:v>P/E above 30; 1Y return below 10%</x:v>
      </x:c>
      <x:c r="AE95" t="str">
        <x:v>False</x:v>
      </x:c>
      <x:c r="AF95" t="str">
        <x:v>https://finance.yahoo.com/quote/ULTRACEMCO.NS</x:v>
      </x:c>
    </x:row>
    <x:row r="96">
      <x:c r="A96" t="str">
        <x:v>Union Bank of India</x:v>
      </x:c>
      <x:c r="B96" t="str">
        <x:v>Financial Services</x:v>
      </x:c>
      <x:c r="C96" t="str">
        <x:v>UNIONBANK</x:v>
      </x:c>
      <x:c r="D96" t="str">
        <x:v>EQ</x:v>
      </x:c>
      <x:c r="E96" t="str">
        <x:v>INE692A01016</x:v>
      </x:c>
      <x:c r="F96" t="str">
        <x:v>UNIONBANK.NS</x:v>
      </x:c>
      <x:c r="G96" s="10" t="n">
        <x:v>175.75999450683594</x:v>
      </x:c>
      <x:c r="H96" s="6" t="n">
        <x:v>0.3009302663355671</x:v>
      </x:c>
      <x:c r="I96" s="6" t="n">
        <x:v>0.3218017318033177</x:v>
      </x:c>
      <x:c r="J96" s="6" t="n">
        <x:v>-0.21446583263220254</x:v>
      </x:c>
      <x:c r="K96" t="n">
        <x:v>250</x:v>
      </x:c>
      <x:c r="L96" t="str">
        <x:v>2025-06-19</x:v>
      </x:c>
      <x:c r="M96" t="str">
        <x:v>2026-06-19</x:v>
      </x:c>
      <x:c r="N96"/>
      <x:c r="O96" s="5" t="n">
        <x:v>6.90609</x:v>
      </x:c>
      <x:c r="P96" s="7" t="n">
        <x:v>1341682483200</x:v>
      </x:c>
      <x:c r="Q96" s="7" t="n">
        <x:v>134168.24832</x:v>
      </x:c>
      <x:c r="R96" t="str">
        <x:v>Financial Services</x:v>
      </x:c>
      <x:c r="S96" t="str">
        <x:v>Banks - Regional</x:v>
      </x:c>
      <x:c r="T96" t="str">
        <x:v>INR</x:v>
      </x:c>
      <x:c r="U96"/>
      <x:c r="V96" t="str">
        <x:v>2026-06-19</x:v>
      </x:c>
      <x:c r="W96" t="str">
        <x:v>True</x:v>
      </x:c>
      <x:c r="X96" s="8" t="n">
        <x:v>93.75</x:v>
      </x:c>
      <x:c r="Y96" s="8" t="n">
        <x:v>83.33333333333334</x:v>
      </x:c>
      <x:c r="Z96" s="8" t="n">
        <x:v>42.1875</x:v>
      </x:c>
      <x:c r="AA96" s="8" t="n">
        <x:v>45.83333333333334</x:v>
      </x:c>
      <x:c r="AB96" s="8" t="n">
        <x:v>88.02083333333334</x:v>
      </x:c>
      <x:c r="AC96" s="9" t="n">
        <x:v>0.9351418485202339</x:v>
      </x:c>
      <x:c r="AD96" t="str">
        <x:v>Passed all filters</x:v>
      </x:c>
      <x:c r="AE96" t="str">
        <x:v>True</x:v>
      </x:c>
      <x:c r="AF96" t="str">
        <x:v>https://finance.yahoo.com/quote/UNIONBANK.NS</x:v>
      </x:c>
    </x:row>
    <x:row r="97">
      <x:c r="A97" t="str">
        <x:v>United Spirits Ltd.</x:v>
      </x:c>
      <x:c r="B97" t="str">
        <x:v>Fast Moving Consumer Goods</x:v>
      </x:c>
      <x:c r="C97" t="str">
        <x:v>UNITDSPR</x:v>
      </x:c>
      <x:c r="D97" t="str">
        <x:v>EQ</x:v>
      </x:c>
      <x:c r="E97" t="str">
        <x:v>INE854D01024</x:v>
      </x:c>
      <x:c r="F97" t="str">
        <x:v>UNITDSPR.NS</x:v>
      </x:c>
      <x:c r="G97" s="10" t="n">
        <x:v>1320.5</x:v>
      </x:c>
      <x:c r="H97" s="6" t="n">
        <x:v>-0.08650319399812434</x:v>
      </x:c>
      <x:c r="I97" s="6" t="n">
        <x:v>0.2291776068021302</x:v>
      </x:c>
      <x:c r="J97" s="6" t="n">
        <x:v>-0.16114369462044986</x:v>
      </x:c>
      <x:c r="K97" t="n">
        <x:v>250</x:v>
      </x:c>
      <x:c r="L97" t="str">
        <x:v>2025-06-19</x:v>
      </x:c>
      <x:c r="M97" t="str">
        <x:v>2026-06-19</x:v>
      </x:c>
      <x:c r="N97"/>
      <x:c r="O97" s="5" t="n">
        <x:v>54.95214</x:v>
      </x:c>
      <x:c r="P97" s="7" t="n">
        <x:v>960533299200</x:v>
      </x:c>
      <x:c r="Q97" s="7" t="n">
        <x:v>96053.32992</x:v>
      </x:c>
      <x:c r="R97" t="str">
        <x:v>Consumer Defensive</x:v>
      </x:c>
      <x:c r="S97" t="str">
        <x:v>Beverages - Wineries &amp; Distilleries</x:v>
      </x:c>
      <x:c r="T97" t="str">
        <x:v>INR</x:v>
      </x:c>
      <x:c r="U97"/>
      <x:c r="V97" t="str">
        <x:v>2026-06-19</x:v>
      </x:c>
      <x:c r="W97" t="str">
        <x:v>True</x:v>
      </x:c>
      <x:c r="X97" s="8" t="n">
        <x:v>26.041666666666668</x:v>
      </x:c>
      <x:c r="Y97" s="8" t="n">
        <x:v>23.958333333333336</x:v>
      </x:c>
      <x:c r="Z97" s="8" t="n">
        <x:v>11.71875</x:v>
      </x:c>
      <x:c r="AA97" s="8" t="n">
        <x:v>13.177083333333336</x:v>
      </x:c>
      <x:c r="AB97" s="8" t="n">
        <x:v>24.895833333333336</x:v>
      </x:c>
      <x:c r="AC97" s="9" t="n">
        <x:v>-0.3774504638789181</x:v>
      </x:c>
      <x:c r="AD97" t="str">
        <x:v>P/E above 30; 1Y return below 10%</x:v>
      </x:c>
      <x:c r="AE97" t="str">
        <x:v>False</x:v>
      </x:c>
      <x:c r="AF97" t="str">
        <x:v>https://finance.yahoo.com/quote/UNITDSPR.NS</x:v>
      </x:c>
    </x:row>
    <x:row r="98">
      <x:c r="A98" t="str">
        <x:v>Vedanta Aluminium Metal Ltd.</x:v>
      </x:c>
      <x:c r="B98" t="str">
        <x:v>Metals &amp; Mining</x:v>
      </x:c>
      <x:c r="C98" t="str">
        <x:v>VAML</x:v>
      </x:c>
      <x:c r="D98" t="str">
        <x:v>BE</x:v>
      </x:c>
      <x:c r="E98" t="str">
        <x:v>INE1CDF01017</x:v>
      </x:c>
      <x:c r="F98" t="str">
        <x:v>VAML.NS</x:v>
      </x:c>
      <x:c r="G98" s="10"/>
      <x:c r="H98" s="6"/>
      <x:c r="I98" s="6"/>
      <x:c r="J98" s="6"/>
      <x:c r="K98" t="n">
        <x:v>5</x:v>
      </x:c>
      <x:c r="L98"/>
      <x:c r="M98"/>
      <x:c r="N98" t="str">
        <x:v>Fewer than 200 observations</x:v>
      </x:c>
      <x:c r="O98" s="5" t="str">
        <x:v>inf</x:v>
      </x:c>
      <x:c r="P98" s="7" t="n">
        <x:v>1787205255168</x:v>
      </x:c>
      <x:c r="Q98" s="7" t="n">
        <x:v>178720.5255168</x:v>
      </x:c>
      <x:c r="R98" t="str">
        <x:v>Basic Materials</x:v>
      </x:c>
      <x:c r="S98" t="str">
        <x:v>Aluminum</x:v>
      </x:c>
      <x:c r="T98" t="str">
        <x:v>INR</x:v>
      </x:c>
      <x:c r="U98"/>
      <x:c r="V98" t="str">
        <x:v>2026-06-19</x:v>
      </x:c>
      <x:c r="W98" t="str">
        <x:v>False</x:v>
      </x:c>
      <x:c r="X98" s="8"/>
      <x:c r="Y98" s="8"/>
      <x:c r="Z98" s="8"/>
      <x:c r="AA98" s="8"/>
      <x:c r="AB98" s="8"/>
      <x:c r="AC98" s="9"/>
      <x:c r="AD98" t="str">
        <x:v>P/E above 30; Missing 1Y return</x:v>
      </x:c>
      <x:c r="AE98" t="str">
        <x:v>False</x:v>
      </x:c>
      <x:c r="AF98" t="str">
        <x:v>https://finance.yahoo.com/quote/VAML.NS</x:v>
      </x:c>
    </x:row>
    <x:row r="99">
      <x:c r="A99" t="str">
        <x:v>Varun Beverages Ltd.</x:v>
      </x:c>
      <x:c r="B99" t="str">
        <x:v>Fast Moving Consumer Goods</x:v>
      </x:c>
      <x:c r="C99" t="str">
        <x:v>VBL</x:v>
      </x:c>
      <x:c r="D99" t="str">
        <x:v>EQ</x:v>
      </x:c>
      <x:c r="E99" t="str">
        <x:v>INE200M01039</x:v>
      </x:c>
      <x:c r="F99" t="str">
        <x:v>VBL.NS</x:v>
      </x:c>
      <x:c r="G99" s="10" t="n">
        <x:v>529.5</x:v>
      </x:c>
      <x:c r="H99" s="6" t="n">
        <x:v>0.1839445986736501</x:v>
      </x:c>
      <x:c r="I99" s="6" t="n">
        <x:v>0.28831371716111553</x:v>
      </x:c>
      <x:c r="J99" s="6" t="n">
        <x:v>-0.2679562988781816</x:v>
      </x:c>
      <x:c r="K99" t="n">
        <x:v>250</x:v>
      </x:c>
      <x:c r="L99" t="str">
        <x:v>2025-06-19</x:v>
      </x:c>
      <x:c r="M99" t="str">
        <x:v>2026-06-19</x:v>
      </x:c>
      <x:c r="N99"/>
      <x:c r="O99" s="5" t="n">
        <x:v>56.269928</x:v>
      </x:c>
      <x:c r="P99" s="7" t="n">
        <x:v>1790925733888</x:v>
      </x:c>
      <x:c r="Q99" s="7" t="n">
        <x:v>179092.5733888</x:v>
      </x:c>
      <x:c r="R99" t="str">
        <x:v>Consumer Defensive</x:v>
      </x:c>
      <x:c r="S99" t="str">
        <x:v>Beverages - Non-Alcoholic</x:v>
      </x:c>
      <x:c r="T99" t="str">
        <x:v>INR</x:v>
      </x:c>
      <x:c r="U99"/>
      <x:c r="V99" t="str">
        <x:v>2026-06-19</x:v>
      </x:c>
      <x:c r="W99" t="str">
        <x:v>True</x:v>
      </x:c>
      <x:c r="X99" s="8" t="n">
        <x:v>25</x:v>
      </x:c>
      <x:c r="Y99" s="8" t="n">
        <x:v>67.70833333333334</x:v>
      </x:c>
      <x:c r="Z99" s="8" t="n">
        <x:v>11.25</x:v>
      </x:c>
      <x:c r="AA99" s="8" t="n">
        <x:v>37.23958333333334</x:v>
      </x:c>
      <x:c r="AB99" s="8" t="n">
        <x:v>48.48958333333334</x:v>
      </x:c>
      <x:c r="AC99" s="9" t="n">
        <x:v>0.6380015508275596</x:v>
      </x:c>
      <x:c r="AD99" t="str">
        <x:v>P/E above 30</x:v>
      </x:c>
      <x:c r="AE99" t="str">
        <x:v>False</x:v>
      </x:c>
      <x:c r="AF99" t="str">
        <x:v>https://finance.yahoo.com/quote/VBL.NS</x:v>
      </x:c>
    </x:row>
    <x:row r="100">
      <x:c r="A100" t="str">
        <x:v>Vedanta Ltd.</x:v>
      </x:c>
      <x:c r="B100" t="str">
        <x:v>Metals &amp; Mining</x:v>
      </x:c>
      <x:c r="C100" t="str">
        <x:v>VEDL</x:v>
      </x:c>
      <x:c r="D100" t="str">
        <x:v>EQ</x:v>
      </x:c>
      <x:c r="E100" t="str">
        <x:v>INE205A01025</x:v>
      </x:c>
      <x:c r="F100" t="str">
        <x:v>VEDL.NS</x:v>
      </x:c>
      <x:c r="G100" s="10" t="n">
        <x:v>300.79998779296875</x:v>
      </x:c>
      <x:c r="H100" s="6" t="n">
        <x:v>-0.26711584253935683</x:v>
      </x:c>
      <x:c r="I100" s="6" t="n">
        <x:v>0.7360736703832903</x:v>
      </x:c>
      <x:c r="J100" s="6" t="n">
        <x:v>-0.6551746186755952</x:v>
      </x:c>
      <x:c r="K100" t="n">
        <x:v>250</x:v>
      </x:c>
      <x:c r="L100" t="str">
        <x:v>2025-06-19</x:v>
      </x:c>
      <x:c r="M100" t="str">
        <x:v>2026-06-19</x:v>
      </x:c>
      <x:c r="N100"/>
      <x:c r="O100" s="5" t="n">
        <x:v>16.767</x:v>
      </x:c>
      <x:c r="P100" s="7" t="n">
        <x:v>1174564372480</x:v>
      </x:c>
      <x:c r="Q100" s="7" t="n">
        <x:v>117456.437248</x:v>
      </x:c>
      <x:c r="R100" t="str">
        <x:v>Basic Materials</x:v>
      </x:c>
      <x:c r="S100" t="str">
        <x:v>Other Industrial Metals &amp; Mining</x:v>
      </x:c>
      <x:c r="T100" t="str">
        <x:v>INR</x:v>
      </x:c>
      <x:c r="U100"/>
      <x:c r="V100" t="str">
        <x:v>2026-06-19</x:v>
      </x:c>
      <x:c r="W100" t="str">
        <x:v>True</x:v>
      </x:c>
      <x:c r="X100" s="8" t="n">
        <x:v>78.125</x:v>
      </x:c>
      <x:c r="Y100" s="8" t="n">
        <x:v>8.333333333333332</x:v>
      </x:c>
      <x:c r="Z100" s="8" t="n">
        <x:v>35.15625</x:v>
      </x:c>
      <x:c r="AA100" s="8" t="n">
        <x:v>4.583333333333333</x:v>
      </x:c>
      <x:c r="AB100" s="8" t="n">
        <x:v>39.739583333333336</x:v>
      </x:c>
      <x:c r="AC100" s="9" t="n">
        <x:v>-0.36289280990075834</x:v>
      </x:c>
      <x:c r="AD100" t="str">
        <x:v>1Y return below 10%</x:v>
      </x:c>
      <x:c r="AE100" t="str">
        <x:v>False</x:v>
      </x:c>
      <x:c r="AF100" t="str">
        <x:v>https://finance.yahoo.com/quote/VEDL.NS</x:v>
      </x:c>
    </x:row>
    <x:row r="101">
      <x:c r="A101" t="str">
        <x:v>Vedanta Oil and Gas Ltd.</x:v>
      </x:c>
      <x:c r="B101" t="str">
        <x:v>Oil Gas &amp; Consumable Fuels</x:v>
      </x:c>
      <x:c r="C101" t="str">
        <x:v>VOGL</x:v>
      </x:c>
      <x:c r="D101" t="str">
        <x:v>BE</x:v>
      </x:c>
      <x:c r="E101" t="str">
        <x:v>INE704J01044</x:v>
      </x:c>
      <x:c r="F101" t="str">
        <x:v>VOGL.NS</x:v>
      </x:c>
      <x:c r="G101" s="10"/>
      <x:c r="H101" s="6"/>
      <x:c r="I101" s="6"/>
      <x:c r="J101" s="6"/>
      <x:c r="K101" t="n">
        <x:v>5</x:v>
      </x:c>
      <x:c r="L101"/>
      <x:c r="M101"/>
      <x:c r="N101" t="str">
        <x:v>Fewer than 200 observations</x:v>
      </x:c>
      <x:c r="O101" s="5"/>
      <x:c r="P101" s="7" t="n">
        <x:v>128329588736</x:v>
      </x:c>
      <x:c r="Q101" s="7" t="n">
        <x:v>12832.9588736</x:v>
      </x:c>
      <x:c r="R101" t="str">
        <x:v>Basic Materials</x:v>
      </x:c>
      <x:c r="S101" t="str">
        <x:v>Other Industrial Metals &amp; Mining</x:v>
      </x:c>
      <x:c r="T101" t="str">
        <x:v>INR</x:v>
      </x:c>
      <x:c r="U101"/>
      <x:c r="V101" t="str">
        <x:v>2026-06-19</x:v>
      </x:c>
      <x:c r="W101" t="str">
        <x:v>False</x:v>
      </x:c>
      <x:c r="X101" s="8"/>
      <x:c r="Y101" s="8"/>
      <x:c r="Z101" s="8"/>
      <x:c r="AA101" s="8"/>
      <x:c r="AB101" s="8"/>
      <x:c r="AC101" s="9"/>
      <x:c r="AD101" t="str">
        <x:v>Missing trailing P/E; Missing 1Y return</x:v>
      </x:c>
      <x:c r="AE101" t="str">
        <x:v>False</x:v>
      </x:c>
      <x:c r="AF101" t="str">
        <x:v>https://finance.yahoo.com/quote/VOGL.NS</x:v>
      </x:c>
    </x:row>
    <x:row r="102">
      <x:c r="A102" t="str">
        <x:v>Wipro Ltd.</x:v>
      </x:c>
      <x:c r="B102" t="str">
        <x:v>Information Technology</x:v>
      </x:c>
      <x:c r="C102" t="str">
        <x:v>WIPRO</x:v>
      </x:c>
      <x:c r="D102" t="str">
        <x:v>EQ</x:v>
      </x:c>
      <x:c r="E102" t="str">
        <x:v>INE075A01022</x:v>
      </x:c>
      <x:c r="F102" t="str">
        <x:v>WIPRO.NS</x:v>
      </x:c>
      <x:c r="G102" s="10" t="n">
        <x:v>180.8000030517578</x:v>
      </x:c>
      <x:c r="H102" s="6" t="n">
        <x:v>-0.2879136460808086</x:v>
      </x:c>
      <x:c r="I102" s="6" t="n">
        <x:v>0.24898246028002846</x:v>
      </x:c>
      <x:c r="J102" s="6" t="n">
        <x:v>-0.3327126660781464</x:v>
      </x:c>
      <x:c r="K102" t="n">
        <x:v>250</x:v>
      </x:c>
      <x:c r="L102" t="str">
        <x:v>2025-06-19</x:v>
      </x:c>
      <x:c r="M102" t="str">
        <x:v>2026-06-19</x:v>
      </x:c>
      <x:c r="N102"/>
      <x:c r="O102" s="5" t="n">
        <x:v>14.383453</x:v>
      </x:c>
      <x:c r="P102" s="7" t="n">
        <x:v>1896792195072</x:v>
      </x:c>
      <x:c r="Q102" s="7" t="n">
        <x:v>189679.2195072</x:v>
      </x:c>
      <x:c r="R102" t="str">
        <x:v>Technology</x:v>
      </x:c>
      <x:c r="S102" t="str">
        <x:v>Information Technology Services</x:v>
      </x:c>
      <x:c r="T102" t="str">
        <x:v>INR</x:v>
      </x:c>
      <x:c r="U102"/>
      <x:c r="V102" t="str">
        <x:v>2026-06-19</x:v>
      </x:c>
      <x:c r="W102" t="str">
        <x:v>True</x:v>
      </x:c>
      <x:c r="X102" s="8" t="n">
        <x:v>83.33333333333334</x:v>
      </x:c>
      <x:c r="Y102" s="8" t="n">
        <x:v>6.25</x:v>
      </x:c>
      <x:c r="Z102" s="8" t="n">
        <x:v>37.50000000000001</x:v>
      </x:c>
      <x:c r="AA102" s="8" t="n">
        <x:v>3.4375000000000004</x:v>
      </x:c>
      <x:c r="AB102" s="8" t="n">
        <x:v>40.93750000000001</x:v>
      </x:c>
      <x:c r="AC102" s="9" t="n">
        <x:v>-1.1563611579586552</x:v>
      </x:c>
      <x:c r="AD102" t="str">
        <x:v>1Y return below 10%</x:v>
      </x:c>
      <x:c r="AE102" t="str">
        <x:v>False</x:v>
      </x:c>
      <x:c r="AF102" t="str">
        <x:v>https://finance.yahoo.com/quote/WIPRO.NS</x:v>
      </x:c>
    </x:row>
    <x:row r="103">
      <x:c r="A103" t="str">
        <x:v>Zydus Lifesciences Ltd.</x:v>
      </x:c>
      <x:c r="B103" t="str">
        <x:v>Healthcare</x:v>
      </x:c>
      <x:c r="C103" t="str">
        <x:v>ZYDUSLIFE</x:v>
      </x:c>
      <x:c r="D103" t="str">
        <x:v>EQ</x:v>
      </x:c>
      <x:c r="E103" t="str">
        <x:v>INE010B01027</x:v>
      </x:c>
      <x:c r="F103" t="str">
        <x:v>ZYDUSLIFE.NS</x:v>
      </x:c>
      <x:c r="G103" s="10" t="n">
        <x:v>1070.800048828125</x:v>
      </x:c>
      <x:c r="H103" s="6" t="n">
        <x:v>0.14000993805512896</x:v>
      </x:c>
      <x:c r="I103" s="6" t="n">
        <x:v>0.21677242506785654</x:v>
      </x:c>
      <x:c r="J103" s="6" t="n">
        <x:v>-0.17869924546717042</x:v>
      </x:c>
      <x:c r="K103" t="n">
        <x:v>250</x:v>
      </x:c>
      <x:c r="L103" t="str">
        <x:v>2025-06-19</x:v>
      </x:c>
      <x:c r="M103" t="str">
        <x:v>2026-06-19</x:v>
      </x:c>
      <x:c r="N103"/>
      <x:c r="O103" s="5" t="n">
        <x:v>21.394608</x:v>
      </x:c>
      <x:c r="P103" s="7" t="n">
        <x:v>1077475409920</x:v>
      </x:c>
      <x:c r="Q103" s="7" t="n">
        <x:v>107747.540992</x:v>
      </x:c>
      <x:c r="R103" t="str">
        <x:v>Healthcare</x:v>
      </x:c>
      <x:c r="S103" t="str">
        <x:v>Drug Manufacturers - Specialty &amp; Generic</x:v>
      </x:c>
      <x:c r="T103" t="str">
        <x:v>INR</x:v>
      </x:c>
      <x:c r="U103"/>
      <x:c r="V103" t="str">
        <x:v>2026-06-19</x:v>
      </x:c>
      <x:c r="W103" t="str">
        <x:v>True</x:v>
      </x:c>
      <x:c r="X103" s="8" t="n">
        <x:v>66.66666666666666</x:v>
      </x:c>
      <x:c r="Y103" s="8" t="n">
        <x:v>62.5</x:v>
      </x:c>
      <x:c r="Z103" s="8" t="n">
        <x:v>29.999999999999996</x:v>
      </x:c>
      <x:c r="AA103" s="8" t="n">
        <x:v>34.375</x:v>
      </x:c>
      <x:c r="AB103" s="8" t="n">
        <x:v>64.375</x:v>
      </x:c>
      <x:c r="AC103" s="9" t="n">
        <x:v>0.6458844477626777</x:v>
      </x:c>
      <x:c r="AD103" t="str">
        <x:v>Passed all filters</x:v>
      </x:c>
      <x:c r="AE103" t="str">
        <x:v>True</x:v>
      </x:c>
      <x:c r="AF103" t="str">
        <x:v>https://finance.yahoo.com/quote/ZYDUSLIFE.NS</x:v>
      </x:c>
    </x:row>
  </x:sheetData>
  <x:pageMargins left="0.7" right="0.7" top="0.75" bottom="0.75" header="0.3" footer="0.3"/>
  <x:tableParts count="1">
    <x:tablePart xmlns:r="http://schemas.openxmlformats.org/officeDocument/2006/relationships" r:id="R604dc7febce140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34" hidden="0" customWidth="1"/>
    <x:col min="4" max="4" width="58" hidden="0" customWidth="1"/>
  </x:cols>
  <x:sheetData>
    <x:row r="1">
      <x:c r="A1" s="14" t="str">
        <x:v>Sources, Scope &amp; Audit Notes</x:v>
      </x:c>
      <x:c r="B1" s="14"/>
      <x:c r="C1" s="14"/>
      <x:c r="D1" s="14"/>
    </x:row>
    <x:row r="2">
      <x:c r="A2" s="14"/>
      <x:c r="B2" s="14"/>
      <x:c r="C2" s="14"/>
      <x:c r="D2" s="14"/>
    </x:row>
    <x:row r="4">
      <x:c r="A4" s="23" t="str">
        <x:v>Item</x:v>
      </x:c>
      <x:c r="B4" s="23" t="str">
        <x:v>Source URL</x:v>
      </x:c>
      <x:c r="C4" s="23" t="str">
        <x:v>Use</x:v>
      </x:c>
      <x:c r="D4" s="23" t="str">
        <x:v>Notes</x:v>
      </x:c>
    </x:row>
    <x:row r="5" ht="42" customHeight="1">
      <x:c r="A5" s="150" t="str">
        <x:v>Nifty 100 constituents</x:v>
      </x:c>
      <x:c r="B5" s="151" t="str">
        <x:v>https://www.niftyindices.com/IndexConstituent/ind_nifty100list.csv</x:v>
      </x:c>
      <x:c r="C5" s="152" t="str">
        <x:v>Company, industry, symbol, ISIN</x:v>
      </x:c>
      <x:c r="D5" s="152" t="str">
        <x:v>Official Nifty Indices constituent file; current file and committed snapshot.</x:v>
      </x:c>
    </x:row>
    <x:row r="6" ht="42" customHeight="1">
      <x:c r="A6" s="150" t="str">
        <x:v>Yahoo Finance</x:v>
      </x:c>
      <x:c r="B6" s="151" t="str">
        <x:v>https://finance.yahoo.com/</x:v>
      </x:c>
      <x:c r="C6" s="152" t="str">
        <x:v>Adjusted prices, trailing P/E, market capitalisation</x:v>
      </x:c>
      <x:c r="D6" s="152" t="str">
        <x:v>Accessed through yfinance; unofficial and potentially delayed/missing.</x:v>
      </x:c>
    </x:row>
    <x:row r="7" ht="42" customHeight="1">
      <x:c r="A7" s="150" t="str">
        <x:v>Methodology</x:v>
      </x:c>
      <x:c r="B7" s="151" t="str">
        <x:v>https://github.com/</x:v>
      </x:c>
      <x:c r="C7" s="152" t="str">
        <x:v>Python source code and tests</x:v>
      </x:c>
      <x:c r="D7" s="152" t="str">
        <x:v>See stock_screener modules and README in the repository.</x:v>
      </x:c>
    </x:row>
  </x:sheetData>
  <x:mergeCells>
    <x:mergeCell ref="A1:D2"/>
  </x:mergeCells>
  <x:pageMargins left="0.7" right="0.7" top="0.75" bottom="0.75" header="0.3" footer="0.3"/>
  <x:legacyDrawing xmlns:r="http://schemas.openxmlformats.org/officeDocument/2006/relationships" r:id="Reb11e2858e064b8f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4" t="str">
        <x:v>Model Checks</x:v>
      </x:c>
      <x:c r="B1" s="14"/>
      <x:c r="C1" s="14"/>
      <x:c r="D1" s="14"/>
      <x:c r="E1" s="14"/>
      <x:c r="F1" s="14"/>
    </x:row>
    <x:row r="2">
      <x:c r="A2" s="14"/>
      <x:c r="B2" s="14"/>
      <x:c r="C2" s="14"/>
      <x:c r="D2" s="14"/>
      <x:c r="E2" s="14"/>
      <x:c r="F2" s="14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Tolerance</x:v>
      </x:c>
      <x:c r="F4" s="23" t="str">
        <x:v>Status</x:v>
      </x:c>
    </x:row>
    <x:row r="5">
      <x:c r="A5" s="24" t="str">
        <x:v>Weights sum to 100%</x:v>
      </x:c>
      <x:c r="B5" s="28" t="n">
        <x:f>Assumptions!B10</x:f>
        <x:v>1</x:v>
      </x:c>
      <x:c r="C5" s="28" t="n">
        <x:f>1</x:f>
        <x:v>1</x:v>
      </x:c>
      <x:c r="D5" s="28" t="n">
        <x:f>B5-C5</x:f>
        <x:v>0</x:v>
      </x:c>
      <x:c r="E5" s="24" t="n">
        <x:f>0.000001</x:f>
        <x:v>0.000001</x:v>
      </x:c>
      <x:c r="F5" s="24" t="str">
        <x:f>IF(ABS(D5)&lt;=E5,"OK","FAIL")</x:f>
        <x:v>OK</x:v>
      </x:c>
    </x:row>
    <x:row r="6">
      <x:c r="A6" s="24" t="str">
        <x:v>Candidate count matches</x:v>
      </x:c>
      <x:c r="B6" s="157" t="n">
        <x:f>COUNTA(Candidates!B2:B200)</x:f>
        <x:v>18</x:v>
      </x:c>
      <x:c r="C6" s="157" t="n">
        <x:f>'Data Quality'!B4</x:f>
        <x:v>18</x:v>
      </x:c>
      <x:c r="D6" s="157" t="n">
        <x:f>B6-C6</x:f>
        <x:v>0</x:v>
      </x:c>
      <x:c r="E6" s="157" t="n">
        <x:f>0</x:f>
        <x:v>0</x:v>
      </x:c>
      <x:c r="F6" s="24" t="str">
        <x:f>IF(ABS(D6)&lt;=E6,"OK","FAIL")</x:f>
        <x:v>OK</x:v>
      </x:c>
    </x:row>
    <x:row r="7">
      <x:c r="A7" s="24" t="str">
        <x:v>Required-field coverage</x:v>
      </x:c>
      <x:c r="B7" s="28" t="n">
        <x:f>'Data Quality'!B3/'Data Quality'!B2</x:f>
        <x:v>0.9411764705882353</x:v>
      </x:c>
      <x:c r="C7" s="28" t="n">
        <x:f>0.8</x:f>
        <x:v>0.8</x:v>
      </x:c>
      <x:c r="D7" s="28" t="n">
        <x:f>B7-C7</x:f>
        <x:v>0.14117647058823524</x:v>
      </x:c>
      <x:c r="E7" s="24" t="n">
        <x:f>0</x:f>
        <x:v>0</x:v>
      </x:c>
      <x:c r="F7" s="24" t="str">
        <x:f>IF(B7&gt;=C7,"OK","FAIL")</x:f>
        <x:v>OK</x:v>
      </x:c>
    </x:row>
    <x:row r="8">
      <x:c r="A8" s="24" t="str">
        <x:v>Top score within 0–100</x:v>
      </x:c>
      <x:c r="B8" s="158" t="n">
        <x:f>Candidates!L2</x:f>
        <x:v>90.10416666666667</x:v>
      </x:c>
      <x:c r="C8" s="158" t="n">
        <x:f>100</x:f>
        <x:v>100</x:v>
      </x:c>
      <x:c r="D8" s="158" t="n">
        <x:f>B8-C8</x:f>
        <x:v>-9.895833333333329</x:v>
      </x:c>
      <x:c r="E8" s="158" t="n">
        <x:f>0</x:f>
        <x:v>0</x:v>
      </x:c>
      <x:c r="F8" s="24" t="str">
        <x:f>IF(AND(B8&gt;=0,B8&lt;=100),"OK","FAIL")</x:f>
        <x:v>OK</x:v>
      </x:c>
    </x:row>
    <x:row r="10">
      <x:c r="A10" s="155" t="str">
        <x:v>Overall model status</x:v>
      </x:c>
      <x:c r="B10" s="156" t="str">
        <x:f>IF(COUNTIF(F5:F8,"FAIL")=0,"OK","CHECK")</x:f>
        <x:v>OK</x:v>
      </x:c>
    </x:row>
  </x:sheetData>
  <x:mergeCells>
    <x:mergeCell ref="A1:F2"/>
  </x:mergeCells>
  <x:conditionalFormatting sqref="F5:F8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